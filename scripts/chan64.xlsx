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hlin/workspace/eeg_memory/eeg_prep/"/>
    </mc:Choice>
  </mc:AlternateContent>
  <xr:revisionPtr revIDLastSave="0" documentId="13_ncr:9_{C93F6C58-1E99-0242-A2B5-D61634D546C2}" xr6:coauthVersionLast="47" xr6:coauthVersionMax="47" xr10:uidLastSave="{00000000-0000-0000-0000-000000000000}"/>
  <bookViews>
    <workbookView xWindow="21580" yWindow="6900" windowWidth="26840" windowHeight="15940" xr2:uid="{040AD7AE-B754-3945-82D6-BC58292DDD4A}"/>
  </bookViews>
  <sheets>
    <sheet name="Sheet1" sheetId="2" r:id="rId1"/>
    <sheet name="Sheet1-backup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2" l="1"/>
  <c r="G19" i="2"/>
  <c r="F46" i="2"/>
  <c r="F60" i="2"/>
  <c r="G48" i="2"/>
  <c r="G44" i="2"/>
  <c r="G35" i="2"/>
  <c r="F23" i="2"/>
  <c r="E22" i="2"/>
  <c r="G63" i="2"/>
  <c r="E37" i="2"/>
  <c r="E48" i="2"/>
  <c r="G54" i="2"/>
  <c r="G52" i="2"/>
  <c r="E53" i="2"/>
  <c r="F11" i="2"/>
  <c r="G62" i="2"/>
  <c r="E42" i="2"/>
  <c r="F22" i="2"/>
  <c r="G61" i="2"/>
  <c r="G39" i="2"/>
  <c r="G20" i="2"/>
  <c r="G51" i="2"/>
  <c r="G49" i="2"/>
  <c r="F38" i="2"/>
  <c r="F17" i="2"/>
  <c r="E10" i="2"/>
  <c r="E51" i="2"/>
  <c r="E56" i="2"/>
  <c r="E29" i="2"/>
  <c r="G23" i="2"/>
  <c r="G6" i="2"/>
  <c r="E25" i="2"/>
  <c r="E52" i="2"/>
  <c r="F10" i="2"/>
  <c r="F51" i="2"/>
  <c r="F62" i="2"/>
  <c r="F30" i="2"/>
  <c r="F37" i="2"/>
  <c r="E39" i="2"/>
  <c r="E27" i="2"/>
  <c r="F35" i="2"/>
  <c r="F16" i="2"/>
  <c r="G57" i="2"/>
  <c r="G59" i="2"/>
  <c r="E61" i="2"/>
  <c r="G56" i="2"/>
  <c r="E4" i="2"/>
  <c r="E30" i="2"/>
  <c r="E32" i="2"/>
  <c r="G42" i="2"/>
  <c r="G22" i="2"/>
  <c r="G46" i="2"/>
  <c r="E50" i="2"/>
  <c r="E13" i="2"/>
  <c r="E34" i="2"/>
  <c r="G24" i="2"/>
  <c r="F12" i="2"/>
  <c r="E2" i="2"/>
  <c r="E58" i="2"/>
  <c r="E63" i="2"/>
  <c r="E20" i="2"/>
  <c r="G32" i="2"/>
  <c r="E57" i="2"/>
  <c r="G11" i="2"/>
  <c r="E59" i="2"/>
  <c r="F25" i="2"/>
  <c r="G47" i="2"/>
  <c r="E47" i="2"/>
  <c r="F21" i="2"/>
  <c r="F3" i="2"/>
  <c r="G8" i="2"/>
  <c r="E35" i="2"/>
  <c r="F27" i="2"/>
  <c r="F50" i="2"/>
  <c r="F1" i="2"/>
  <c r="F39" i="2"/>
  <c r="E38" i="2"/>
  <c r="E28" i="2"/>
  <c r="G2" i="2"/>
  <c r="F14" i="2"/>
  <c r="G17" i="2"/>
  <c r="G15" i="2"/>
  <c r="F53" i="2"/>
  <c r="E44" i="2"/>
  <c r="F33" i="2"/>
  <c r="G55" i="2"/>
  <c r="G58" i="2"/>
  <c r="F49" i="2"/>
  <c r="E16" i="2"/>
  <c r="F19" i="2"/>
  <c r="G60" i="2"/>
  <c r="G41" i="2"/>
  <c r="E1" i="2"/>
  <c r="E46" i="2"/>
  <c r="F59" i="2"/>
  <c r="E8" i="2"/>
  <c r="E40" i="2"/>
  <c r="E62" i="2"/>
  <c r="E23" i="2"/>
  <c r="E31" i="2"/>
  <c r="F29" i="2"/>
  <c r="G36" i="2"/>
  <c r="G18" i="2"/>
  <c r="G12" i="2"/>
  <c r="E26" i="2"/>
  <c r="F31" i="2"/>
  <c r="F20" i="2"/>
  <c r="G31" i="2"/>
  <c r="G26" i="2"/>
  <c r="E3" i="2"/>
  <c r="F57" i="2"/>
  <c r="F26" i="2"/>
  <c r="E24" i="2"/>
  <c r="E18" i="2"/>
  <c r="E54" i="2"/>
  <c r="F13" i="2"/>
  <c r="E60" i="2"/>
  <c r="G1" i="2"/>
  <c r="G28" i="2"/>
  <c r="E45" i="2"/>
  <c r="F4" i="2"/>
  <c r="F48" i="2"/>
  <c r="F32" i="2"/>
  <c r="G53" i="2"/>
  <c r="F61" i="2"/>
  <c r="G21" i="2"/>
  <c r="F34" i="2"/>
  <c r="F28" i="2"/>
  <c r="G29" i="2"/>
  <c r="G3" i="2"/>
  <c r="G7" i="2"/>
  <c r="G4" i="2"/>
  <c r="F45" i="2"/>
  <c r="E49" i="2"/>
  <c r="F6" i="2"/>
  <c r="E21" i="2"/>
  <c r="E14" i="2"/>
  <c r="E41" i="2"/>
  <c r="G5" i="2"/>
  <c r="F44" i="2"/>
  <c r="G38" i="2"/>
  <c r="E33" i="2"/>
  <c r="F36" i="2"/>
  <c r="G9" i="2"/>
  <c r="E17" i="2"/>
  <c r="G25" i="2"/>
  <c r="F2" i="2"/>
  <c r="E15" i="2"/>
  <c r="F18" i="2"/>
  <c r="F58" i="2"/>
  <c r="F47" i="2"/>
  <c r="G45" i="2"/>
  <c r="G16" i="2"/>
  <c r="F63" i="2"/>
  <c r="E43" i="2"/>
  <c r="G50" i="2"/>
  <c r="E55" i="2"/>
  <c r="G40" i="2"/>
  <c r="G27" i="2"/>
  <c r="E12" i="2"/>
  <c r="G37" i="2"/>
  <c r="E6" i="2"/>
  <c r="G30" i="2"/>
  <c r="E36" i="2"/>
  <c r="F8" i="2"/>
  <c r="G13" i="2"/>
  <c r="F5" i="2"/>
  <c r="E5" i="2"/>
  <c r="F43" i="2"/>
  <c r="F9" i="2"/>
  <c r="F24" i="2"/>
  <c r="G33" i="2"/>
  <c r="F42" i="2"/>
  <c r="G34" i="2"/>
  <c r="F15" i="2"/>
  <c r="E19" i="2"/>
  <c r="G43" i="2"/>
  <c r="F55" i="2"/>
  <c r="E11" i="2"/>
  <c r="F52" i="2"/>
  <c r="F56" i="2"/>
  <c r="E9" i="2"/>
  <c r="F40" i="2"/>
  <c r="F7" i="2"/>
  <c r="E7" i="2"/>
  <c r="G14" i="2"/>
  <c r="G10" i="2"/>
  <c r="F54" i="2"/>
  <c r="F63" i="1"/>
  <c r="G14" i="1"/>
  <c r="G48" i="1"/>
  <c r="E49" i="1"/>
  <c r="F21" i="1"/>
  <c r="F62" i="1"/>
  <c r="F43" i="1"/>
  <c r="G63" i="1"/>
  <c r="F64" i="1"/>
  <c r="E19" i="1"/>
  <c r="F52" i="1"/>
  <c r="G34" i="1"/>
  <c r="E37" i="1"/>
  <c r="E18" i="1"/>
  <c r="F40" i="1"/>
  <c r="E65" i="1"/>
  <c r="G17" i="1"/>
  <c r="G38" i="1"/>
  <c r="E50" i="1"/>
  <c r="G21" i="1"/>
  <c r="E9" i="1"/>
  <c r="E8" i="1"/>
  <c r="G1" i="1"/>
  <c r="E39" i="1"/>
  <c r="F14" i="1"/>
  <c r="F10" i="1"/>
  <c r="F44" i="1"/>
  <c r="F32" i="1"/>
  <c r="E4" i="1"/>
  <c r="E23" i="1"/>
  <c r="G54" i="1"/>
  <c r="G8" i="1"/>
  <c r="F41" i="1"/>
  <c r="F3" i="1"/>
  <c r="G52" i="1"/>
  <c r="E58" i="1"/>
  <c r="E64" i="1"/>
  <c r="E52" i="1"/>
  <c r="E62" i="1"/>
  <c r="F46" i="1"/>
  <c r="E31" i="1"/>
  <c r="F4" i="1"/>
  <c r="G50" i="1"/>
  <c r="G12" i="1"/>
  <c r="F36" i="1"/>
  <c r="F9" i="1"/>
  <c r="E24" i="1"/>
  <c r="G45" i="1"/>
  <c r="G24" i="1"/>
  <c r="G28" i="1"/>
  <c r="G9" i="1"/>
  <c r="E60" i="1"/>
  <c r="F29" i="1"/>
  <c r="E59" i="1"/>
  <c r="G62" i="1"/>
  <c r="F31" i="1"/>
  <c r="E26" i="1"/>
  <c r="E20" i="1"/>
  <c r="E42" i="1"/>
  <c r="F35" i="1"/>
  <c r="F57" i="1"/>
  <c r="E45" i="1"/>
  <c r="G43" i="1"/>
  <c r="G29" i="1"/>
  <c r="E63" i="1"/>
  <c r="G19" i="1"/>
  <c r="G26" i="1"/>
  <c r="F61" i="1"/>
  <c r="F48" i="1"/>
  <c r="E3" i="1"/>
  <c r="G65" i="1"/>
  <c r="E6" i="1"/>
  <c r="E61" i="1"/>
  <c r="E28" i="1"/>
  <c r="G20" i="1"/>
  <c r="G53" i="1"/>
  <c r="E10" i="1"/>
  <c r="G60" i="1"/>
  <c r="E17" i="1"/>
  <c r="G37" i="1"/>
  <c r="G31" i="1"/>
  <c r="F20" i="1"/>
  <c r="F8" i="1"/>
  <c r="G51" i="1"/>
  <c r="E41" i="1"/>
  <c r="F26" i="1"/>
  <c r="E13" i="1"/>
  <c r="E7" i="1"/>
  <c r="E11" i="1"/>
  <c r="F1" i="1"/>
  <c r="G11" i="1"/>
  <c r="G35" i="1"/>
  <c r="F42" i="1"/>
  <c r="E38" i="1"/>
  <c r="F60" i="1"/>
  <c r="E53" i="1"/>
  <c r="F51" i="1"/>
  <c r="F15" i="1"/>
  <c r="G39" i="1"/>
  <c r="F18" i="1"/>
  <c r="E1" i="1"/>
  <c r="F6" i="1"/>
  <c r="E34" i="1"/>
  <c r="E27" i="1"/>
  <c r="F53" i="1"/>
  <c r="G57" i="1"/>
  <c r="G30" i="1"/>
  <c r="F65" i="1"/>
  <c r="G44" i="1"/>
  <c r="E54" i="1"/>
  <c r="G2" i="1"/>
  <c r="F54" i="1"/>
  <c r="G15" i="1"/>
  <c r="G56" i="1"/>
  <c r="E44" i="1"/>
  <c r="G42" i="1"/>
  <c r="F58" i="1"/>
  <c r="G22" i="1"/>
  <c r="F25" i="1"/>
  <c r="G36" i="1"/>
  <c r="G58" i="1"/>
  <c r="F49" i="1"/>
  <c r="E2" i="1"/>
  <c r="E47" i="1"/>
  <c r="F59" i="1"/>
  <c r="F12" i="1"/>
  <c r="G59" i="1"/>
  <c r="E33" i="1"/>
  <c r="G18" i="1"/>
  <c r="G5" i="1"/>
  <c r="E48" i="1"/>
  <c r="E5" i="1"/>
  <c r="F24" i="1"/>
  <c r="G33" i="1"/>
  <c r="E25" i="1"/>
  <c r="E16" i="1"/>
  <c r="F27" i="1"/>
  <c r="G27" i="1"/>
  <c r="F28" i="1"/>
  <c r="G7" i="1"/>
  <c r="F39" i="1"/>
  <c r="E55" i="1"/>
  <c r="G64" i="1"/>
  <c r="F16" i="1"/>
  <c r="F50" i="1"/>
  <c r="G46" i="1"/>
  <c r="E57" i="1"/>
  <c r="E35" i="1"/>
  <c r="G47" i="1"/>
  <c r="G3" i="1"/>
  <c r="G4" i="1"/>
  <c r="F5" i="1"/>
  <c r="E12" i="1"/>
  <c r="F47" i="1"/>
  <c r="F2" i="1"/>
  <c r="E21" i="1"/>
  <c r="G6" i="1"/>
  <c r="E56" i="1"/>
  <c r="G41" i="1"/>
  <c r="F7" i="1"/>
  <c r="G40" i="1"/>
  <c r="F38" i="1"/>
  <c r="F37" i="1"/>
  <c r="E32" i="1"/>
  <c r="E29" i="1"/>
  <c r="G55" i="1"/>
  <c r="G23" i="1"/>
  <c r="G13" i="1"/>
  <c r="F33" i="1"/>
  <c r="G61" i="1"/>
  <c r="F17" i="1"/>
  <c r="F11" i="1"/>
  <c r="F30" i="1"/>
  <c r="F22" i="1"/>
  <c r="F13" i="1"/>
  <c r="G49" i="1"/>
  <c r="F23" i="1"/>
  <c r="F45" i="1"/>
  <c r="F55" i="1"/>
  <c r="G16" i="1"/>
  <c r="E30" i="1"/>
  <c r="F19" i="1"/>
  <c r="F56" i="1"/>
  <c r="E46" i="1"/>
  <c r="E43" i="1"/>
  <c r="E51" i="1"/>
  <c r="G32" i="1"/>
  <c r="F34" i="1"/>
  <c r="E40" i="1"/>
  <c r="E36" i="1"/>
  <c r="E15" i="1"/>
  <c r="E22" i="1"/>
  <c r="G25" i="1"/>
  <c r="G10" i="1"/>
  <c r="E14" i="1"/>
</calcChain>
</file>

<file path=xl/sharedStrings.xml><?xml version="1.0" encoding="utf-8"?>
<sst xmlns="http://schemas.openxmlformats.org/spreadsheetml/2006/main" count="131" uniqueCount="68">
  <si>
    <t>Fp1</t>
  </si>
  <si>
    <t>AF7</t>
  </si>
  <si>
    <t>AF3</t>
  </si>
  <si>
    <t>F1</t>
  </si>
  <si>
    <t>F3</t>
  </si>
  <si>
    <t>F5</t>
  </si>
  <si>
    <t>F7</t>
  </si>
  <si>
    <t>FT7</t>
  </si>
  <si>
    <t>FC5</t>
  </si>
  <si>
    <t>FC3</t>
  </si>
  <si>
    <t>FC1</t>
  </si>
  <si>
    <t>C1</t>
  </si>
  <si>
    <t>C3</t>
  </si>
  <si>
    <t>C5</t>
  </si>
  <si>
    <t>TP7</t>
  </si>
  <si>
    <t>CP5</t>
  </si>
  <si>
    <t>CP3</t>
  </si>
  <si>
    <t>CP1</t>
  </si>
  <si>
    <t>P1</t>
  </si>
  <si>
    <t>P3</t>
  </si>
  <si>
    <t>P5</t>
  </si>
  <si>
    <t>P7</t>
  </si>
  <si>
    <t>P9</t>
  </si>
  <si>
    <t>PO7</t>
  </si>
  <si>
    <t>PO3</t>
  </si>
  <si>
    <t>O1</t>
  </si>
  <si>
    <t>Iz (inion)</t>
  </si>
  <si>
    <t>Oz</t>
  </si>
  <si>
    <t>POz</t>
  </si>
  <si>
    <t>Pz</t>
  </si>
  <si>
    <t>CPz</t>
  </si>
  <si>
    <t>Fpz</t>
  </si>
  <si>
    <t>Fp2</t>
  </si>
  <si>
    <t>AF8</t>
  </si>
  <si>
    <t>AF4</t>
  </si>
  <si>
    <t>Afz</t>
  </si>
  <si>
    <t>Fz</t>
  </si>
  <si>
    <t>F2</t>
  </si>
  <si>
    <t>F4</t>
  </si>
  <si>
    <t>F6</t>
  </si>
  <si>
    <t>F8</t>
  </si>
  <si>
    <t>FT8</t>
  </si>
  <si>
    <t>FC6</t>
  </si>
  <si>
    <t>FC4</t>
  </si>
  <si>
    <t>FC2</t>
  </si>
  <si>
    <t>FCz</t>
  </si>
  <si>
    <t>Cz</t>
  </si>
  <si>
    <t>C2</t>
  </si>
  <si>
    <t>C4</t>
  </si>
  <si>
    <t>C6</t>
  </si>
  <si>
    <t>TP8</t>
  </si>
  <si>
    <t>CP6</t>
  </si>
  <si>
    <t>CP4</t>
  </si>
  <si>
    <t>CP2</t>
  </si>
  <si>
    <t>P2</t>
  </si>
  <si>
    <t>P4</t>
  </si>
  <si>
    <t>P6</t>
  </si>
  <si>
    <t>P8</t>
  </si>
  <si>
    <t>P10</t>
  </si>
  <si>
    <t>PO8</t>
  </si>
  <si>
    <t>PO4</t>
  </si>
  <si>
    <t>O2</t>
  </si>
  <si>
    <t>T7</t>
  </si>
  <si>
    <t>T8</t>
  </si>
  <si>
    <t>TP9</t>
  </si>
  <si>
    <t>TP10</t>
  </si>
  <si>
    <t>FT9</t>
  </si>
  <si>
    <t>FT10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</si>
</sst>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B979-27E4-E54C-BC42-2B8708103101}">
  <dimension ref="A1:G63"/>
  <sheetViews>
    <sheetView tabSelected="1" workbookViewId="0">
      <selection activeCell="B67" sqref="B67"/>
    </sheetView>
  </sheetViews>
  <sheetFormatPr baseColWidth="10" defaultRowHeight="16" x14ac:dyDescent="0.2"/>
  <sheetData>
    <row r="1" spans="1:7" x14ac:dyDescent="0.2">
      <c r="A1" t="s">
        <v>0</v>
      </c>
      <c r="B1">
        <v>-92</v>
      </c>
      <c r="C1">
        <v>-72</v>
      </c>
      <c r="D1" s="1"/>
      <c r="E1" s="1">
        <f t="shared" ref="E1:E59" ca="1" si="0">$G$10*SIN(RADIANS(B1))*COS(RADIANS(C1))</f>
        <v>-27.03339345638139</v>
      </c>
      <c r="F1" s="1">
        <f t="shared" ref="F1:F59" ca="1" si="1">$G$10*SIN(RADIANS(B1))*SIN(RADIANS(C1))</f>
        <v>83.200229994686211</v>
      </c>
      <c r="G1" s="1">
        <f t="shared" ref="G1:G59" ca="1" si="2">$G$10*COS(RADIANS(B1))</f>
        <v>-3.0549352257454658</v>
      </c>
    </row>
    <row r="2" spans="1:7" x14ac:dyDescent="0.2">
      <c r="A2" t="s">
        <v>1</v>
      </c>
      <c r="B2">
        <v>-92</v>
      </c>
      <c r="C2">
        <v>-54</v>
      </c>
      <c r="D2" s="1"/>
      <c r="E2" s="1">
        <f t="shared" ca="1" si="0"/>
        <v>-51.420570008524564</v>
      </c>
      <c r="F2" s="1">
        <f t="shared" ca="1" si="1"/>
        <v>70.774342900055473</v>
      </c>
      <c r="G2" s="1">
        <f t="shared" ca="1" si="2"/>
        <v>-3.0549352257454658</v>
      </c>
    </row>
    <row r="3" spans="1:7" x14ac:dyDescent="0.2">
      <c r="A3" t="s">
        <v>2</v>
      </c>
      <c r="B3">
        <v>-74</v>
      </c>
      <c r="C3">
        <v>-65</v>
      </c>
      <c r="D3" s="1"/>
      <c r="E3" s="1">
        <f t="shared" ca="1" si="0"/>
        <v>-35.560899584916406</v>
      </c>
      <c r="F3" s="1">
        <f t="shared" ca="1" si="1"/>
        <v>76.260595259398713</v>
      </c>
      <c r="G3" s="1">
        <f t="shared" ca="1" si="2"/>
        <v>24.127977403076549</v>
      </c>
    </row>
    <row r="4" spans="1:7" x14ac:dyDescent="0.2">
      <c r="A4" t="s">
        <v>3</v>
      </c>
      <c r="B4">
        <v>-50</v>
      </c>
      <c r="C4">
        <v>-68</v>
      </c>
      <c r="D4" s="1"/>
      <c r="E4" s="1">
        <f t="shared" ca="1" si="0"/>
        <v>-25.119571456688661</v>
      </c>
      <c r="F4" s="1">
        <f t="shared" ca="1" si="1"/>
        <v>62.173121075901349</v>
      </c>
      <c r="G4" s="1">
        <f t="shared" ca="1" si="2"/>
        <v>56.266556742734238</v>
      </c>
    </row>
    <row r="5" spans="1:7" x14ac:dyDescent="0.2">
      <c r="A5" t="s">
        <v>4</v>
      </c>
      <c r="B5">
        <v>-60</v>
      </c>
      <c r="C5">
        <v>-51</v>
      </c>
      <c r="D5" s="1"/>
      <c r="E5" s="1">
        <f t="shared" ca="1" si="0"/>
        <v>-47.707348291160287</v>
      </c>
      <c r="F5" s="1">
        <f t="shared" ca="1" si="1"/>
        <v>58.913668750581181</v>
      </c>
      <c r="G5" s="1">
        <f t="shared" ca="1" si="2"/>
        <v>43.767611490032529</v>
      </c>
    </row>
    <row r="6" spans="1:7" x14ac:dyDescent="0.2">
      <c r="A6" t="s">
        <v>5</v>
      </c>
      <c r="B6">
        <v>-75</v>
      </c>
      <c r="C6">
        <v>-41</v>
      </c>
      <c r="D6" s="1"/>
      <c r="E6" s="1">
        <f t="shared" ca="1" si="0"/>
        <v>-63.812606375067155</v>
      </c>
      <c r="F6" s="1">
        <f t="shared" ca="1" si="1"/>
        <v>55.471452427333077</v>
      </c>
      <c r="G6" s="1">
        <f t="shared" ca="1" si="2"/>
        <v>22.655782824536665</v>
      </c>
    </row>
    <row r="7" spans="1:7" x14ac:dyDescent="0.2">
      <c r="A7" t="s">
        <v>6</v>
      </c>
      <c r="B7">
        <v>-92</v>
      </c>
      <c r="C7">
        <v>-36</v>
      </c>
      <c r="D7" s="1"/>
      <c r="E7" s="1">
        <f t="shared" ca="1" si="0"/>
        <v>-70.774342900055473</v>
      </c>
      <c r="F7" s="1">
        <f t="shared" ca="1" si="1"/>
        <v>51.420570008524564</v>
      </c>
      <c r="G7" s="1">
        <f t="shared" ca="1" si="2"/>
        <v>-3.0549352257454658</v>
      </c>
    </row>
    <row r="8" spans="1:7" x14ac:dyDescent="0.2">
      <c r="A8" t="s">
        <v>7</v>
      </c>
      <c r="B8">
        <v>-92</v>
      </c>
      <c r="C8">
        <v>-18</v>
      </c>
      <c r="D8" s="1"/>
      <c r="E8" s="1">
        <f t="shared" ca="1" si="0"/>
        <v>-83.200229994686211</v>
      </c>
      <c r="F8" s="1">
        <f t="shared" ca="1" si="1"/>
        <v>27.033393456381386</v>
      </c>
      <c r="G8" s="1">
        <f t="shared" ca="1" si="2"/>
        <v>-3.0549352257454658</v>
      </c>
    </row>
    <row r="9" spans="1:7" x14ac:dyDescent="0.2">
      <c r="A9" t="s">
        <v>8</v>
      </c>
      <c r="B9">
        <v>-72</v>
      </c>
      <c r="C9">
        <v>-21</v>
      </c>
      <c r="D9" s="1"/>
      <c r="E9" s="1">
        <f t="shared" ca="1" si="0"/>
        <v>-77.721452011706617</v>
      </c>
      <c r="F9" s="1">
        <f t="shared" ca="1" si="1"/>
        <v>29.834470178025136</v>
      </c>
      <c r="G9" s="1">
        <f t="shared" ca="1" si="2"/>
        <v>27.049871507240532</v>
      </c>
    </row>
    <row r="10" spans="1:7" x14ac:dyDescent="0.2">
      <c r="A10" t="s">
        <v>9</v>
      </c>
      <c r="B10">
        <v>-50</v>
      </c>
      <c r="C10">
        <v>-28</v>
      </c>
      <c r="D10" s="1"/>
      <c r="E10" s="1">
        <f t="shared" ca="1" si="0"/>
        <v>-59.206820011056877</v>
      </c>
      <c r="F10" s="1">
        <f t="shared" ca="1" si="1"/>
        <v>31.480824618562519</v>
      </c>
      <c r="G10" s="1">
        <f t="shared" ca="1" si="2"/>
        <v>56.266556742734238</v>
      </c>
    </row>
    <row r="11" spans="1:7" x14ac:dyDescent="0.2">
      <c r="A11" t="s">
        <v>10</v>
      </c>
      <c r="B11">
        <v>-32</v>
      </c>
      <c r="C11">
        <v>-45</v>
      </c>
      <c r="D11" s="1"/>
      <c r="E11" s="1">
        <f t="shared" ca="1" si="0"/>
        <v>-32.800280092242517</v>
      </c>
      <c r="F11" s="1">
        <f t="shared" ca="1" si="1"/>
        <v>32.80028009224251</v>
      </c>
      <c r="G11" s="1">
        <f t="shared" ca="1" si="2"/>
        <v>74.234079194872393</v>
      </c>
    </row>
    <row r="12" spans="1:7" x14ac:dyDescent="0.2">
      <c r="A12" t="s">
        <v>11</v>
      </c>
      <c r="B12">
        <v>-23</v>
      </c>
      <c r="C12">
        <v>0</v>
      </c>
      <c r="D12" s="1"/>
      <c r="E12" s="1">
        <f t="shared" ca="1" si="0"/>
        <v>-34.202736457561024</v>
      </c>
      <c r="F12" s="1">
        <f t="shared" ca="1" si="1"/>
        <v>0</v>
      </c>
      <c r="G12" s="1">
        <f t="shared" ca="1" si="2"/>
        <v>80.576597601191466</v>
      </c>
    </row>
    <row r="13" spans="1:7" x14ac:dyDescent="0.2">
      <c r="A13" t="s">
        <v>12</v>
      </c>
      <c r="B13">
        <v>-46</v>
      </c>
      <c r="C13">
        <v>0</v>
      </c>
      <c r="D13" s="1"/>
      <c r="E13" s="1">
        <f t="shared" ca="1" si="0"/>
        <v>-62.967569821079287</v>
      </c>
      <c r="F13" s="1">
        <f t="shared" ca="1" si="1"/>
        <v>0</v>
      </c>
      <c r="G13" s="1">
        <f t="shared" ca="1" si="2"/>
        <v>60.807075353096955</v>
      </c>
    </row>
    <row r="14" spans="1:7" x14ac:dyDescent="0.2">
      <c r="A14" t="s">
        <v>13</v>
      </c>
      <c r="B14">
        <v>-69</v>
      </c>
      <c r="C14">
        <v>0</v>
      </c>
      <c r="D14" s="1"/>
      <c r="E14" s="1">
        <f t="shared" ca="1" si="0"/>
        <v>-81.721170803256783</v>
      </c>
      <c r="F14" s="1">
        <f t="shared" ca="1" si="1"/>
        <v>0</v>
      </c>
      <c r="G14" s="1">
        <f t="shared" ca="1" si="2"/>
        <v>31.369818372356569</v>
      </c>
    </row>
    <row r="15" spans="1:7" x14ac:dyDescent="0.2">
      <c r="A15" t="s">
        <v>62</v>
      </c>
      <c r="B15">
        <v>-92</v>
      </c>
      <c r="C15">
        <v>0</v>
      </c>
      <c r="D15" s="1"/>
      <c r="E15" s="1">
        <f t="shared" ca="1" si="0"/>
        <v>-87.481898887348166</v>
      </c>
      <c r="F15" s="1">
        <f t="shared" ca="1" si="1"/>
        <v>0</v>
      </c>
      <c r="G15" s="1">
        <f t="shared" ca="1" si="2"/>
        <v>-3.0549352257454658</v>
      </c>
    </row>
    <row r="16" spans="1:7" x14ac:dyDescent="0.2">
      <c r="A16" t="s">
        <v>14</v>
      </c>
      <c r="B16">
        <v>-92</v>
      </c>
      <c r="C16">
        <v>18</v>
      </c>
      <c r="D16" s="1"/>
      <c r="E16" s="1">
        <f t="shared" ca="1" si="0"/>
        <v>-83.200229994686211</v>
      </c>
      <c r="F16" s="1">
        <f t="shared" ca="1" si="1"/>
        <v>-27.033393456381386</v>
      </c>
      <c r="G16" s="1">
        <f t="shared" ca="1" si="2"/>
        <v>-3.0549352257454658</v>
      </c>
    </row>
    <row r="17" spans="1:7" x14ac:dyDescent="0.2">
      <c r="A17" t="s">
        <v>15</v>
      </c>
      <c r="B17">
        <v>-72</v>
      </c>
      <c r="C17">
        <v>21</v>
      </c>
      <c r="D17" s="1"/>
      <c r="E17" s="1">
        <f t="shared" ca="1" si="0"/>
        <v>-77.721452011706617</v>
      </c>
      <c r="F17" s="1">
        <f t="shared" ca="1" si="1"/>
        <v>-29.834470178025136</v>
      </c>
      <c r="G17" s="1">
        <f t="shared" ca="1" si="2"/>
        <v>27.049871507240532</v>
      </c>
    </row>
    <row r="18" spans="1:7" x14ac:dyDescent="0.2">
      <c r="A18" t="s">
        <v>16</v>
      </c>
      <c r="B18">
        <v>-50</v>
      </c>
      <c r="C18">
        <v>28</v>
      </c>
      <c r="D18" s="1"/>
      <c r="E18" s="1">
        <f t="shared" ca="1" si="0"/>
        <v>-59.206820011056877</v>
      </c>
      <c r="F18" s="1">
        <f t="shared" ca="1" si="1"/>
        <v>-31.480824618562519</v>
      </c>
      <c r="G18" s="1">
        <f t="shared" ca="1" si="2"/>
        <v>56.266556742734238</v>
      </c>
    </row>
    <row r="19" spans="1:7" x14ac:dyDescent="0.2">
      <c r="A19" t="s">
        <v>17</v>
      </c>
      <c r="B19">
        <v>-32</v>
      </c>
      <c r="C19">
        <v>45</v>
      </c>
      <c r="D19" s="1"/>
      <c r="E19" s="1">
        <f t="shared" ca="1" si="0"/>
        <v>-32.800280092242517</v>
      </c>
      <c r="F19" s="1">
        <f t="shared" ca="1" si="1"/>
        <v>-32.80028009224251</v>
      </c>
      <c r="G19" s="1">
        <f t="shared" ca="1" si="2"/>
        <v>74.234079194872393</v>
      </c>
    </row>
    <row r="20" spans="1:7" x14ac:dyDescent="0.2">
      <c r="A20" t="s">
        <v>18</v>
      </c>
      <c r="B20">
        <v>-50</v>
      </c>
      <c r="C20">
        <v>68</v>
      </c>
      <c r="D20" s="1"/>
      <c r="E20" s="1">
        <f t="shared" ca="1" si="0"/>
        <v>-25.119571456688661</v>
      </c>
      <c r="F20" s="1">
        <f t="shared" ca="1" si="1"/>
        <v>-62.173121075901349</v>
      </c>
      <c r="G20" s="1">
        <f t="shared" ca="1" si="2"/>
        <v>56.266556742734238</v>
      </c>
    </row>
    <row r="21" spans="1:7" x14ac:dyDescent="0.2">
      <c r="A21" t="s">
        <v>19</v>
      </c>
      <c r="B21">
        <v>-60</v>
      </c>
      <c r="C21">
        <v>51</v>
      </c>
      <c r="D21" s="1"/>
      <c r="E21" s="1">
        <f t="shared" ca="1" si="0"/>
        <v>-47.707348291160287</v>
      </c>
      <c r="F21" s="1">
        <f t="shared" ca="1" si="1"/>
        <v>-58.913668750581181</v>
      </c>
      <c r="G21" s="1">
        <f t="shared" ca="1" si="2"/>
        <v>43.767611490032529</v>
      </c>
    </row>
    <row r="22" spans="1:7" x14ac:dyDescent="0.2">
      <c r="A22" t="s">
        <v>20</v>
      </c>
      <c r="B22">
        <v>-75</v>
      </c>
      <c r="C22">
        <v>41</v>
      </c>
      <c r="D22" s="1"/>
      <c r="E22" s="1">
        <f t="shared" ca="1" si="0"/>
        <v>-63.812606375067155</v>
      </c>
      <c r="F22" s="1">
        <f t="shared" ca="1" si="1"/>
        <v>-55.471452427333077</v>
      </c>
      <c r="G22" s="1">
        <f t="shared" ca="1" si="2"/>
        <v>22.655782824536665</v>
      </c>
    </row>
    <row r="23" spans="1:7" x14ac:dyDescent="0.2">
      <c r="A23" t="s">
        <v>21</v>
      </c>
      <c r="B23">
        <v>-92</v>
      </c>
      <c r="C23">
        <v>36</v>
      </c>
      <c r="D23" s="1"/>
      <c r="E23" s="1">
        <f t="shared" ca="1" si="0"/>
        <v>-70.774342900055473</v>
      </c>
      <c r="F23" s="1">
        <f t="shared" ca="1" si="1"/>
        <v>-51.420570008524564</v>
      </c>
      <c r="G23" s="1">
        <f t="shared" ca="1" si="2"/>
        <v>-3.0549352257454658</v>
      </c>
    </row>
    <row r="24" spans="1:7" x14ac:dyDescent="0.2">
      <c r="A24" t="s">
        <v>23</v>
      </c>
      <c r="B24">
        <v>-92</v>
      </c>
      <c r="C24">
        <v>54</v>
      </c>
      <c r="D24" s="1"/>
      <c r="E24" s="1">
        <f t="shared" ca="1" si="0"/>
        <v>-51.420570008524564</v>
      </c>
      <c r="F24" s="1">
        <f t="shared" ca="1" si="1"/>
        <v>-70.774342900055473</v>
      </c>
      <c r="G24" s="1">
        <f t="shared" ca="1" si="2"/>
        <v>-3.0549352257454658</v>
      </c>
    </row>
    <row r="25" spans="1:7" x14ac:dyDescent="0.2">
      <c r="A25" t="s">
        <v>24</v>
      </c>
      <c r="B25">
        <v>-74</v>
      </c>
      <c r="C25">
        <v>65</v>
      </c>
      <c r="D25" s="1"/>
      <c r="E25" s="1">
        <f t="shared" ca="1" si="0"/>
        <v>-35.560899584916406</v>
      </c>
      <c r="F25" s="1">
        <f t="shared" ca="1" si="1"/>
        <v>-76.260595259398713</v>
      </c>
      <c r="G25" s="1">
        <f t="shared" ca="1" si="2"/>
        <v>24.127977403076549</v>
      </c>
    </row>
    <row r="26" spans="1:7" x14ac:dyDescent="0.2">
      <c r="A26" t="s">
        <v>25</v>
      </c>
      <c r="B26">
        <v>-92</v>
      </c>
      <c r="C26">
        <v>72</v>
      </c>
      <c r="D26" s="1"/>
      <c r="E26" s="1">
        <f t="shared" ca="1" si="0"/>
        <v>-27.03339345638139</v>
      </c>
      <c r="F26" s="1">
        <f t="shared" ca="1" si="1"/>
        <v>-83.200229994686211</v>
      </c>
      <c r="G26" s="1">
        <f t="shared" ca="1" si="2"/>
        <v>-3.0549352257454658</v>
      </c>
    </row>
    <row r="27" spans="1:7" x14ac:dyDescent="0.2">
      <c r="A27" t="s">
        <v>27</v>
      </c>
      <c r="B27">
        <v>92</v>
      </c>
      <c r="C27">
        <v>-90</v>
      </c>
      <c r="D27" s="1"/>
      <c r="E27" s="1">
        <f t="shared" ca="1" si="0"/>
        <v>5.3589156627153365E-15</v>
      </c>
      <c r="F27" s="1">
        <f t="shared" ca="1" si="1"/>
        <v>-87.481898887348166</v>
      </c>
      <c r="G27" s="1">
        <f t="shared" ca="1" si="2"/>
        <v>-3.0549352257454658</v>
      </c>
    </row>
    <row r="28" spans="1:7" x14ac:dyDescent="0.2">
      <c r="A28" t="s">
        <v>28</v>
      </c>
      <c r="B28">
        <v>69</v>
      </c>
      <c r="C28">
        <v>-90</v>
      </c>
      <c r="D28" s="1"/>
      <c r="E28" s="1">
        <f t="shared" ca="1" si="0"/>
        <v>5.0060283071466737E-15</v>
      </c>
      <c r="F28" s="1">
        <f t="shared" ca="1" si="1"/>
        <v>-81.721170803256783</v>
      </c>
      <c r="G28" s="1">
        <f t="shared" ca="1" si="2"/>
        <v>31.369818372356569</v>
      </c>
    </row>
    <row r="29" spans="1:7" x14ac:dyDescent="0.2">
      <c r="A29" t="s">
        <v>29</v>
      </c>
      <c r="B29">
        <v>46</v>
      </c>
      <c r="C29">
        <v>-90</v>
      </c>
      <c r="D29" s="1"/>
      <c r="E29" s="1">
        <f t="shared" ca="1" si="0"/>
        <v>3.8572310437822973E-15</v>
      </c>
      <c r="F29" s="1">
        <f t="shared" ca="1" si="1"/>
        <v>-62.967569821079287</v>
      </c>
      <c r="G29" s="1">
        <f t="shared" ca="1" si="2"/>
        <v>60.807075353096955</v>
      </c>
    </row>
    <row r="30" spans="1:7" x14ac:dyDescent="0.2">
      <c r="A30" t="s">
        <v>30</v>
      </c>
      <c r="B30">
        <v>23</v>
      </c>
      <c r="C30">
        <v>-90</v>
      </c>
      <c r="D30" s="1"/>
      <c r="E30" s="1">
        <f t="shared" ca="1" si="0"/>
        <v>2.0951714862313809E-15</v>
      </c>
      <c r="F30" s="1">
        <f t="shared" ca="1" si="1"/>
        <v>-34.202736457561024</v>
      </c>
      <c r="G30" s="1">
        <f t="shared" ca="1" si="2"/>
        <v>80.576597601191466</v>
      </c>
    </row>
    <row r="31" spans="1:7" x14ac:dyDescent="0.2">
      <c r="A31" t="s">
        <v>31</v>
      </c>
      <c r="B31">
        <v>92</v>
      </c>
      <c r="C31">
        <v>90</v>
      </c>
      <c r="D31" s="1"/>
      <c r="E31" s="1">
        <f t="shared" ca="1" si="0"/>
        <v>5.3589156627153365E-15</v>
      </c>
      <c r="F31" s="1">
        <f t="shared" ca="1" si="1"/>
        <v>87.481898887348166</v>
      </c>
      <c r="G31" s="1">
        <f t="shared" ca="1" si="2"/>
        <v>-3.0549352257454658</v>
      </c>
    </row>
    <row r="32" spans="1:7" x14ac:dyDescent="0.2">
      <c r="A32" t="s">
        <v>32</v>
      </c>
      <c r="B32">
        <v>92</v>
      </c>
      <c r="C32">
        <v>72</v>
      </c>
      <c r="D32" s="1"/>
      <c r="E32" s="1">
        <f t="shared" ca="1" si="0"/>
        <v>27.03339345638139</v>
      </c>
      <c r="F32" s="1">
        <f t="shared" ca="1" si="1"/>
        <v>83.200229994686211</v>
      </c>
      <c r="G32" s="1">
        <f t="shared" ca="1" si="2"/>
        <v>-3.0549352257454658</v>
      </c>
    </row>
    <row r="33" spans="1:7" x14ac:dyDescent="0.2">
      <c r="A33" t="s">
        <v>33</v>
      </c>
      <c r="B33">
        <v>92</v>
      </c>
      <c r="C33">
        <v>54</v>
      </c>
      <c r="D33" s="1"/>
      <c r="E33" s="1">
        <f t="shared" ca="1" si="0"/>
        <v>51.420570008524564</v>
      </c>
      <c r="F33" s="1">
        <f t="shared" ca="1" si="1"/>
        <v>70.774342900055473</v>
      </c>
      <c r="G33" s="1">
        <f t="shared" ca="1" si="2"/>
        <v>-3.0549352257454658</v>
      </c>
    </row>
    <row r="34" spans="1:7" x14ac:dyDescent="0.2">
      <c r="A34" t="s">
        <v>34</v>
      </c>
      <c r="B34">
        <v>74</v>
      </c>
      <c r="C34">
        <v>65</v>
      </c>
      <c r="D34" s="1"/>
      <c r="E34" s="1">
        <f t="shared" ca="1" si="0"/>
        <v>35.560899584916406</v>
      </c>
      <c r="F34" s="1">
        <f t="shared" ca="1" si="1"/>
        <v>76.260595259398713</v>
      </c>
      <c r="G34" s="1">
        <f t="shared" ca="1" si="2"/>
        <v>24.127977403076549</v>
      </c>
    </row>
    <row r="35" spans="1:7" x14ac:dyDescent="0.2">
      <c r="A35" t="s">
        <v>36</v>
      </c>
      <c r="B35">
        <v>46</v>
      </c>
      <c r="C35">
        <v>90</v>
      </c>
      <c r="D35" s="1"/>
      <c r="E35" s="1">
        <f t="shared" ca="1" si="0"/>
        <v>3.8572310437822973E-15</v>
      </c>
      <c r="F35" s="1">
        <f t="shared" ca="1" si="1"/>
        <v>62.967569821079287</v>
      </c>
      <c r="G35" s="1">
        <f t="shared" ca="1" si="2"/>
        <v>60.807075353096955</v>
      </c>
    </row>
    <row r="36" spans="1:7" x14ac:dyDescent="0.2">
      <c r="A36" t="s">
        <v>37</v>
      </c>
      <c r="B36">
        <v>50</v>
      </c>
      <c r="C36">
        <v>68</v>
      </c>
      <c r="D36" s="1"/>
      <c r="E36" s="1">
        <f t="shared" ca="1" si="0"/>
        <v>25.119571456688661</v>
      </c>
      <c r="F36" s="1">
        <f t="shared" ca="1" si="1"/>
        <v>62.173121075901349</v>
      </c>
      <c r="G36" s="1">
        <f t="shared" ca="1" si="2"/>
        <v>56.266556742734238</v>
      </c>
    </row>
    <row r="37" spans="1:7" x14ac:dyDescent="0.2">
      <c r="A37" t="s">
        <v>38</v>
      </c>
      <c r="B37">
        <v>60</v>
      </c>
      <c r="C37">
        <v>51</v>
      </c>
      <c r="D37" s="1"/>
      <c r="E37" s="1">
        <f t="shared" ca="1" si="0"/>
        <v>47.707348291160287</v>
      </c>
      <c r="F37" s="1">
        <f t="shared" ca="1" si="1"/>
        <v>58.913668750581181</v>
      </c>
      <c r="G37" s="1">
        <f t="shared" ca="1" si="2"/>
        <v>43.767611490032529</v>
      </c>
    </row>
    <row r="38" spans="1:7" x14ac:dyDescent="0.2">
      <c r="A38" t="s">
        <v>39</v>
      </c>
      <c r="B38">
        <v>75</v>
      </c>
      <c r="C38">
        <v>41</v>
      </c>
      <c r="D38" s="1"/>
      <c r="E38" s="1">
        <f t="shared" ca="1" si="0"/>
        <v>63.812606375067155</v>
      </c>
      <c r="F38" s="1">
        <f t="shared" ca="1" si="1"/>
        <v>55.471452427333077</v>
      </c>
      <c r="G38" s="1">
        <f t="shared" ca="1" si="2"/>
        <v>22.655782824536665</v>
      </c>
    </row>
    <row r="39" spans="1:7" x14ac:dyDescent="0.2">
      <c r="A39" t="s">
        <v>40</v>
      </c>
      <c r="B39">
        <v>92</v>
      </c>
      <c r="C39">
        <v>36</v>
      </c>
      <c r="D39" s="1"/>
      <c r="E39" s="1">
        <f t="shared" ca="1" si="0"/>
        <v>70.774342900055473</v>
      </c>
      <c r="F39" s="1">
        <f t="shared" ca="1" si="1"/>
        <v>51.420570008524564</v>
      </c>
      <c r="G39" s="1">
        <f t="shared" ca="1" si="2"/>
        <v>-3.0549352257454658</v>
      </c>
    </row>
    <row r="40" spans="1:7" x14ac:dyDescent="0.2">
      <c r="A40" t="s">
        <v>41</v>
      </c>
      <c r="B40">
        <v>92</v>
      </c>
      <c r="C40">
        <v>18</v>
      </c>
      <c r="D40" s="1"/>
      <c r="E40" s="1">
        <f t="shared" ca="1" si="0"/>
        <v>83.200229994686211</v>
      </c>
      <c r="F40" s="1">
        <f t="shared" ca="1" si="1"/>
        <v>27.033393456381386</v>
      </c>
      <c r="G40" s="1">
        <f t="shared" ca="1" si="2"/>
        <v>-3.0549352257454658</v>
      </c>
    </row>
    <row r="41" spans="1:7" x14ac:dyDescent="0.2">
      <c r="A41" t="s">
        <v>42</v>
      </c>
      <c r="B41">
        <v>72</v>
      </c>
      <c r="C41">
        <v>21</v>
      </c>
      <c r="D41" s="1"/>
      <c r="E41" s="1">
        <f t="shared" ca="1" si="0"/>
        <v>77.721452011706617</v>
      </c>
      <c r="F41" s="1">
        <f t="shared" ca="1" si="1"/>
        <v>29.834470178025136</v>
      </c>
      <c r="G41" s="1">
        <f t="shared" ca="1" si="2"/>
        <v>27.049871507240532</v>
      </c>
    </row>
    <row r="42" spans="1:7" x14ac:dyDescent="0.2">
      <c r="A42" t="s">
        <v>43</v>
      </c>
      <c r="B42">
        <v>50</v>
      </c>
      <c r="C42">
        <v>28</v>
      </c>
      <c r="D42" s="1"/>
      <c r="E42" s="1">
        <f t="shared" ca="1" si="0"/>
        <v>59.206820011056877</v>
      </c>
      <c r="F42" s="1">
        <f t="shared" ca="1" si="1"/>
        <v>31.480824618562519</v>
      </c>
      <c r="G42" s="1">
        <f t="shared" ca="1" si="2"/>
        <v>56.266556742734238</v>
      </c>
    </row>
    <row r="43" spans="1:7" x14ac:dyDescent="0.2">
      <c r="A43" t="s">
        <v>44</v>
      </c>
      <c r="B43">
        <v>32</v>
      </c>
      <c r="C43">
        <v>45</v>
      </c>
      <c r="D43" s="1"/>
      <c r="E43" s="1">
        <f t="shared" ca="1" si="0"/>
        <v>32.800280092242517</v>
      </c>
      <c r="F43" s="1">
        <f t="shared" ca="1" si="1"/>
        <v>32.80028009224251</v>
      </c>
      <c r="G43" s="1">
        <f t="shared" ca="1" si="2"/>
        <v>74.234079194872393</v>
      </c>
    </row>
    <row r="44" spans="1:7" x14ac:dyDescent="0.2">
      <c r="A44" t="s">
        <v>46</v>
      </c>
      <c r="B44">
        <v>0</v>
      </c>
      <c r="C44">
        <v>0</v>
      </c>
      <c r="D44" s="1"/>
      <c r="E44" s="1">
        <f t="shared" ca="1" si="0"/>
        <v>0</v>
      </c>
      <c r="F44" s="1">
        <f t="shared" ca="1" si="1"/>
        <v>0</v>
      </c>
      <c r="G44" s="1">
        <f t="shared" ca="1" si="2"/>
        <v>87.535222980065043</v>
      </c>
    </row>
    <row r="45" spans="1:7" x14ac:dyDescent="0.2">
      <c r="A45" t="s">
        <v>47</v>
      </c>
      <c r="B45">
        <v>23</v>
      </c>
      <c r="C45">
        <v>0</v>
      </c>
      <c r="D45" s="1"/>
      <c r="E45" s="1">
        <f t="shared" ca="1" si="0"/>
        <v>34.202736457561024</v>
      </c>
      <c r="F45" s="1">
        <f t="shared" ca="1" si="1"/>
        <v>0</v>
      </c>
      <c r="G45" s="1">
        <f t="shared" ca="1" si="2"/>
        <v>80.576597601191466</v>
      </c>
    </row>
    <row r="46" spans="1:7" x14ac:dyDescent="0.2">
      <c r="A46" t="s">
        <v>48</v>
      </c>
      <c r="B46">
        <v>46</v>
      </c>
      <c r="C46">
        <v>0</v>
      </c>
      <c r="D46" s="1"/>
      <c r="E46" s="1">
        <f t="shared" ca="1" si="0"/>
        <v>62.967569821079287</v>
      </c>
      <c r="F46" s="1">
        <f t="shared" ca="1" si="1"/>
        <v>0</v>
      </c>
      <c r="G46" s="1">
        <f t="shared" ca="1" si="2"/>
        <v>60.807075353096955</v>
      </c>
    </row>
    <row r="47" spans="1:7" x14ac:dyDescent="0.2">
      <c r="A47" t="s">
        <v>49</v>
      </c>
      <c r="B47">
        <v>69</v>
      </c>
      <c r="C47">
        <v>0</v>
      </c>
      <c r="D47" s="1"/>
      <c r="E47" s="1">
        <f t="shared" ca="1" si="0"/>
        <v>81.721170803256783</v>
      </c>
      <c r="F47" s="1">
        <f t="shared" ca="1" si="1"/>
        <v>0</v>
      </c>
      <c r="G47" s="1">
        <f t="shared" ca="1" si="2"/>
        <v>31.369818372356569</v>
      </c>
    </row>
    <row r="48" spans="1:7" x14ac:dyDescent="0.2">
      <c r="A48" t="s">
        <v>63</v>
      </c>
      <c r="B48">
        <v>92</v>
      </c>
      <c r="C48">
        <v>0</v>
      </c>
      <c r="D48" s="1"/>
      <c r="E48" s="1">
        <f t="shared" ca="1" si="0"/>
        <v>87.481898887348166</v>
      </c>
      <c r="F48" s="1">
        <f t="shared" ca="1" si="1"/>
        <v>0</v>
      </c>
      <c r="G48" s="1">
        <f t="shared" ca="1" si="2"/>
        <v>-3.0549352257454658</v>
      </c>
    </row>
    <row r="49" spans="1:7" x14ac:dyDescent="0.2">
      <c r="A49" t="s">
        <v>50</v>
      </c>
      <c r="B49">
        <v>92</v>
      </c>
      <c r="C49">
        <v>-18</v>
      </c>
      <c r="D49" s="1"/>
      <c r="E49" s="1">
        <f t="shared" ca="1" si="0"/>
        <v>83.200229994686211</v>
      </c>
      <c r="F49" s="1">
        <f t="shared" ca="1" si="1"/>
        <v>-27.033393456381386</v>
      </c>
      <c r="G49" s="1">
        <f t="shared" ca="1" si="2"/>
        <v>-3.0549352257454658</v>
      </c>
    </row>
    <row r="50" spans="1:7" x14ac:dyDescent="0.2">
      <c r="A50" t="s">
        <v>51</v>
      </c>
      <c r="B50">
        <v>72</v>
      </c>
      <c r="C50">
        <v>-21</v>
      </c>
      <c r="D50" s="1"/>
      <c r="E50" s="1">
        <f t="shared" ca="1" si="0"/>
        <v>77.721452011706617</v>
      </c>
      <c r="F50" s="1">
        <f t="shared" ca="1" si="1"/>
        <v>-29.834470178025136</v>
      </c>
      <c r="G50" s="1">
        <f t="shared" ca="1" si="2"/>
        <v>27.049871507240532</v>
      </c>
    </row>
    <row r="51" spans="1:7" x14ac:dyDescent="0.2">
      <c r="A51" t="s">
        <v>52</v>
      </c>
      <c r="B51">
        <v>50</v>
      </c>
      <c r="C51">
        <v>-28</v>
      </c>
      <c r="D51" s="1"/>
      <c r="E51" s="1">
        <f t="shared" ca="1" si="0"/>
        <v>59.206820011056877</v>
      </c>
      <c r="F51" s="1">
        <f t="shared" ca="1" si="1"/>
        <v>-31.480824618562519</v>
      </c>
      <c r="G51" s="1">
        <f t="shared" ca="1" si="2"/>
        <v>56.266556742734238</v>
      </c>
    </row>
    <row r="52" spans="1:7" x14ac:dyDescent="0.2">
      <c r="A52" t="s">
        <v>53</v>
      </c>
      <c r="B52">
        <v>32</v>
      </c>
      <c r="C52">
        <v>-45</v>
      </c>
      <c r="D52" s="1"/>
      <c r="E52" s="1">
        <f t="shared" ca="1" si="0"/>
        <v>32.800280092242517</v>
      </c>
      <c r="F52" s="1">
        <f t="shared" ca="1" si="1"/>
        <v>-32.80028009224251</v>
      </c>
      <c r="G52" s="1">
        <f t="shared" ca="1" si="2"/>
        <v>74.234079194872393</v>
      </c>
    </row>
    <row r="53" spans="1:7" x14ac:dyDescent="0.2">
      <c r="A53" t="s">
        <v>54</v>
      </c>
      <c r="B53">
        <v>50</v>
      </c>
      <c r="C53">
        <v>-68</v>
      </c>
      <c r="D53" s="1"/>
      <c r="E53" s="1">
        <f t="shared" ca="1" si="0"/>
        <v>25.119571456688661</v>
      </c>
      <c r="F53" s="1">
        <f t="shared" ca="1" si="1"/>
        <v>-62.173121075901349</v>
      </c>
      <c r="G53" s="1">
        <f t="shared" ca="1" si="2"/>
        <v>56.266556742734238</v>
      </c>
    </row>
    <row r="54" spans="1:7" x14ac:dyDescent="0.2">
      <c r="A54" t="s">
        <v>55</v>
      </c>
      <c r="B54">
        <v>60</v>
      </c>
      <c r="C54">
        <v>-51</v>
      </c>
      <c r="D54" s="1"/>
      <c r="E54" s="1">
        <f t="shared" ca="1" si="0"/>
        <v>47.707348291160287</v>
      </c>
      <c r="F54" s="1">
        <f t="shared" ca="1" si="1"/>
        <v>-58.913668750581181</v>
      </c>
      <c r="G54" s="1">
        <f t="shared" ca="1" si="2"/>
        <v>43.767611490032529</v>
      </c>
    </row>
    <row r="55" spans="1:7" x14ac:dyDescent="0.2">
      <c r="A55" t="s">
        <v>56</v>
      </c>
      <c r="B55">
        <v>75</v>
      </c>
      <c r="C55">
        <v>-41</v>
      </c>
      <c r="D55" s="1"/>
      <c r="E55" s="1">
        <f t="shared" ca="1" si="0"/>
        <v>63.812606375067155</v>
      </c>
      <c r="F55" s="1">
        <f t="shared" ca="1" si="1"/>
        <v>-55.471452427333077</v>
      </c>
      <c r="G55" s="1">
        <f t="shared" ca="1" si="2"/>
        <v>22.655782824536665</v>
      </c>
    </row>
    <row r="56" spans="1:7" x14ac:dyDescent="0.2">
      <c r="A56" t="s">
        <v>57</v>
      </c>
      <c r="B56">
        <v>92</v>
      </c>
      <c r="C56">
        <v>-36</v>
      </c>
      <c r="D56" s="1"/>
      <c r="E56" s="1">
        <f t="shared" ca="1" si="0"/>
        <v>70.774342900055473</v>
      </c>
      <c r="F56" s="1">
        <f t="shared" ca="1" si="1"/>
        <v>-51.420570008524564</v>
      </c>
      <c r="G56" s="1">
        <f t="shared" ca="1" si="2"/>
        <v>-3.0549352257454658</v>
      </c>
    </row>
    <row r="57" spans="1:7" x14ac:dyDescent="0.2">
      <c r="A57" t="s">
        <v>59</v>
      </c>
      <c r="B57">
        <v>92</v>
      </c>
      <c r="C57">
        <v>-54</v>
      </c>
      <c r="D57" s="1"/>
      <c r="E57" s="1">
        <f t="shared" ca="1" si="0"/>
        <v>51.420570008524564</v>
      </c>
      <c r="F57" s="1">
        <f t="shared" ca="1" si="1"/>
        <v>-70.774342900055473</v>
      </c>
      <c r="G57" s="1">
        <f t="shared" ca="1" si="2"/>
        <v>-3.0549352257454658</v>
      </c>
    </row>
    <row r="58" spans="1:7" x14ac:dyDescent="0.2">
      <c r="A58" t="s">
        <v>60</v>
      </c>
      <c r="B58">
        <v>74</v>
      </c>
      <c r="C58">
        <v>-65</v>
      </c>
      <c r="D58" s="1"/>
      <c r="E58" s="1">
        <f t="shared" ca="1" si="0"/>
        <v>35.560899584916406</v>
      </c>
      <c r="F58" s="1">
        <f t="shared" ca="1" si="1"/>
        <v>-76.260595259398713</v>
      </c>
      <c r="G58" s="1">
        <f t="shared" ca="1" si="2"/>
        <v>24.127977403076549</v>
      </c>
    </row>
    <row r="59" spans="1:7" x14ac:dyDescent="0.2">
      <c r="A59" t="s">
        <v>61</v>
      </c>
      <c r="B59">
        <v>92</v>
      </c>
      <c r="C59">
        <v>-72</v>
      </c>
      <c r="D59" s="1"/>
      <c r="E59" s="1">
        <f t="shared" ca="1" si="0"/>
        <v>27.03339345638139</v>
      </c>
      <c r="F59" s="1">
        <f t="shared" ca="1" si="1"/>
        <v>-83.200229994686211</v>
      </c>
      <c r="G59" s="1">
        <f t="shared" ca="1" si="2"/>
        <v>-3.0549352257454658</v>
      </c>
    </row>
    <row r="60" spans="1:7" x14ac:dyDescent="0.2">
      <c r="A60" s="4" t="s">
        <v>64</v>
      </c>
      <c r="B60" s="4">
        <v>-115</v>
      </c>
      <c r="C60" s="4">
        <v>-18</v>
      </c>
      <c r="D60" s="5"/>
      <c r="E60" s="5">
        <f t="shared" ref="E60:E63" ca="1" si="3">$G$10*SIN(RADIANS(B60))*COS(RADIANS(C60))</f>
        <v>-75.450979025229316</v>
      </c>
      <c r="F60" s="5">
        <f t="shared" ref="F60:F63" ca="1" si="4">$G$10*SIN(RADIANS(B60))*SIN(RADIANS(C60))</f>
        <v>24.515509185352894</v>
      </c>
      <c r="G60" s="5">
        <f t="shared" ref="G60:G63" ca="1" si="5">$G$10*COS(RADIANS(B60))</f>
        <v>-36.993983776919606</v>
      </c>
    </row>
    <row r="61" spans="1:7" x14ac:dyDescent="0.2">
      <c r="A61" s="4" t="s">
        <v>65</v>
      </c>
      <c r="B61" s="4">
        <v>115</v>
      </c>
      <c r="C61" s="4">
        <v>18</v>
      </c>
      <c r="D61" s="4"/>
      <c r="E61" s="5">
        <f t="shared" ca="1" si="3"/>
        <v>75.450979025229316</v>
      </c>
      <c r="F61" s="5">
        <f t="shared" ca="1" si="4"/>
        <v>24.515509185352894</v>
      </c>
      <c r="G61" s="5">
        <f t="shared" ca="1" si="5"/>
        <v>-36.993983776919606</v>
      </c>
    </row>
    <row r="62" spans="1:7" x14ac:dyDescent="0.2">
      <c r="A62" s="4" t="s">
        <v>66</v>
      </c>
      <c r="B62" s="4">
        <v>-115</v>
      </c>
      <c r="C62" s="4">
        <v>18</v>
      </c>
      <c r="D62" s="4"/>
      <c r="E62" s="5">
        <f t="shared" ca="1" si="3"/>
        <v>-75.450979025229316</v>
      </c>
      <c r="F62" s="5">
        <f t="shared" ca="1" si="4"/>
        <v>-24.515509185352894</v>
      </c>
      <c r="G62" s="5">
        <f t="shared" ca="1" si="5"/>
        <v>-36.993983776919606</v>
      </c>
    </row>
    <row r="63" spans="1:7" x14ac:dyDescent="0.2">
      <c r="A63" s="4" t="s">
        <v>67</v>
      </c>
      <c r="B63" s="4">
        <v>115</v>
      </c>
      <c r="C63" s="4">
        <v>-18</v>
      </c>
      <c r="D63" s="4"/>
      <c r="E63" s="5">
        <f t="shared" ca="1" si="3"/>
        <v>75.450979025229316</v>
      </c>
      <c r="F63" s="5">
        <f t="shared" ca="1" si="4"/>
        <v>-24.515509185352894</v>
      </c>
      <c r="G63" s="5">
        <f t="shared" ca="1" si="5"/>
        <v>-36.993983776919606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6DC3-97EB-B74E-97BD-69A8672CE316}">
  <dimension ref="A1:H72"/>
  <sheetViews>
    <sheetView topLeftCell="A28" workbookViewId="0">
      <selection activeCell="J51" sqref="J51"/>
    </sheetView>
  </sheetViews>
  <sheetFormatPr baseColWidth="10" defaultRowHeight="16" x14ac:dyDescent="0.2"/>
  <sheetData>
    <row r="1" spans="1:7" x14ac:dyDescent="0.2">
      <c r="A1" t="s">
        <v>0</v>
      </c>
      <c r="B1">
        <v>-92</v>
      </c>
      <c r="C1">
        <v>-72</v>
      </c>
      <c r="D1" s="1"/>
      <c r="E1" s="1">
        <f ca="1">$G$10*SIN(RADIANS(B1))*COS(RADIANS(C1))</f>
        <v>-27.03339345638139</v>
      </c>
      <c r="F1" s="1">
        <f ca="1">$G$10*SIN(RADIANS(B1))*SIN(RADIANS(C1))</f>
        <v>83.200229994686211</v>
      </c>
      <c r="G1" s="1">
        <f ca="1">$G$10*COS(RADIANS(B1))</f>
        <v>-3.0549352257454658</v>
      </c>
    </row>
    <row r="2" spans="1:7" x14ac:dyDescent="0.2">
      <c r="A2" t="s">
        <v>1</v>
      </c>
      <c r="B2">
        <v>-92</v>
      </c>
      <c r="C2">
        <v>-54</v>
      </c>
      <c r="D2" s="1"/>
      <c r="E2" s="1">
        <f ca="1">$G$10*SIN(RADIANS(B2))*COS(RADIANS(C2))</f>
        <v>-51.420570008524564</v>
      </c>
      <c r="F2" s="1">
        <f ca="1">$G$10*SIN(RADIANS(B2))*SIN(RADIANS(C2))</f>
        <v>70.774342900055473</v>
      </c>
      <c r="G2" s="1">
        <f ca="1">$G$10*COS(RADIANS(B2))</f>
        <v>-3.0549352257454658</v>
      </c>
    </row>
    <row r="3" spans="1:7" x14ac:dyDescent="0.2">
      <c r="A3" t="s">
        <v>2</v>
      </c>
      <c r="B3">
        <v>-74</v>
      </c>
      <c r="C3">
        <v>-65</v>
      </c>
      <c r="D3" s="1"/>
      <c r="E3" s="1">
        <f ca="1">$G$10*SIN(RADIANS(B3))*COS(RADIANS(C3))</f>
        <v>-35.560899584916406</v>
      </c>
      <c r="F3" s="1">
        <f ca="1">$G$10*SIN(RADIANS(B3))*SIN(RADIANS(C3))</f>
        <v>76.260595259398713</v>
      </c>
      <c r="G3" s="1">
        <f ca="1">$G$10*COS(RADIANS(B3))</f>
        <v>24.127977403076549</v>
      </c>
    </row>
    <row r="4" spans="1:7" x14ac:dyDescent="0.2">
      <c r="A4" t="s">
        <v>3</v>
      </c>
      <c r="B4">
        <v>-50</v>
      </c>
      <c r="C4">
        <v>-68</v>
      </c>
      <c r="D4" s="1"/>
      <c r="E4" s="1">
        <f ca="1">$G$10*SIN(RADIANS(B4))*COS(RADIANS(C4))</f>
        <v>-25.119571456688661</v>
      </c>
      <c r="F4" s="1">
        <f ca="1">$G$10*SIN(RADIANS(B4))*SIN(RADIANS(C4))</f>
        <v>62.173121075901349</v>
      </c>
      <c r="G4" s="1">
        <f ca="1">$G$10*COS(RADIANS(B4))</f>
        <v>56.266556742734238</v>
      </c>
    </row>
    <row r="5" spans="1:7" x14ac:dyDescent="0.2">
      <c r="A5" t="s">
        <v>4</v>
      </c>
      <c r="B5">
        <v>-60</v>
      </c>
      <c r="C5">
        <v>-51</v>
      </c>
      <c r="D5" s="1"/>
      <c r="E5" s="1">
        <f ca="1">$G$10*SIN(RADIANS(B5))*COS(RADIANS(C5))</f>
        <v>-47.707348291160287</v>
      </c>
      <c r="F5" s="1">
        <f ca="1">$G$10*SIN(RADIANS(B5))*SIN(RADIANS(C5))</f>
        <v>58.913668750581181</v>
      </c>
      <c r="G5" s="1">
        <f ca="1">$G$10*COS(RADIANS(B5))</f>
        <v>43.767611490032529</v>
      </c>
    </row>
    <row r="6" spans="1:7" x14ac:dyDescent="0.2">
      <c r="A6" t="s">
        <v>5</v>
      </c>
      <c r="B6">
        <v>-75</v>
      </c>
      <c r="C6">
        <v>-41</v>
      </c>
      <c r="D6" s="1"/>
      <c r="E6" s="1">
        <f ca="1">$G$10*SIN(RADIANS(B6))*COS(RADIANS(C6))</f>
        <v>-63.812606375067155</v>
      </c>
      <c r="F6" s="1">
        <f ca="1">$G$10*SIN(RADIANS(B6))*SIN(RADIANS(C6))</f>
        <v>55.471452427333077</v>
      </c>
      <c r="G6" s="1">
        <f ca="1">$G$10*COS(RADIANS(B6))</f>
        <v>22.655782824536665</v>
      </c>
    </row>
    <row r="7" spans="1:7" x14ac:dyDescent="0.2">
      <c r="A7" t="s">
        <v>6</v>
      </c>
      <c r="B7">
        <v>-92</v>
      </c>
      <c r="C7">
        <v>-36</v>
      </c>
      <c r="D7" s="1"/>
      <c r="E7" s="1">
        <f ca="1">$G$10*SIN(RADIANS(B7))*COS(RADIANS(C7))</f>
        <v>-70.774342900055473</v>
      </c>
      <c r="F7" s="1">
        <f ca="1">$G$10*SIN(RADIANS(B7))*SIN(RADIANS(C7))</f>
        <v>51.420570008524564</v>
      </c>
      <c r="G7" s="1">
        <f ca="1">$G$10*COS(RADIANS(B7))</f>
        <v>-3.0549352257454658</v>
      </c>
    </row>
    <row r="8" spans="1:7" x14ac:dyDescent="0.2">
      <c r="A8" t="s">
        <v>7</v>
      </c>
      <c r="B8">
        <v>-92</v>
      </c>
      <c r="C8">
        <v>-18</v>
      </c>
      <c r="D8" s="1"/>
      <c r="E8" s="1">
        <f ca="1">$G$10*SIN(RADIANS(B8))*COS(RADIANS(C8))</f>
        <v>-83.200229994686211</v>
      </c>
      <c r="F8" s="1">
        <f ca="1">$G$10*SIN(RADIANS(B8))*SIN(RADIANS(C8))</f>
        <v>27.033393456381386</v>
      </c>
      <c r="G8" s="1">
        <f ca="1">$G$10*COS(RADIANS(B8))</f>
        <v>-3.0549352257454658</v>
      </c>
    </row>
    <row r="9" spans="1:7" x14ac:dyDescent="0.2">
      <c r="A9" t="s">
        <v>8</v>
      </c>
      <c r="B9">
        <v>-72</v>
      </c>
      <c r="C9">
        <v>-21</v>
      </c>
      <c r="D9" s="1"/>
      <c r="E9" s="1">
        <f ca="1">$G$10*SIN(RADIANS(B9))*COS(RADIANS(C9))</f>
        <v>-77.721452011706617</v>
      </c>
      <c r="F9" s="1">
        <f ca="1">$G$10*SIN(RADIANS(B9))*SIN(RADIANS(C9))</f>
        <v>29.834470178025136</v>
      </c>
      <c r="G9" s="1">
        <f ca="1">$G$10*COS(RADIANS(B9))</f>
        <v>27.049871507240532</v>
      </c>
    </row>
    <row r="10" spans="1:7" x14ac:dyDescent="0.2">
      <c r="A10" t="s">
        <v>9</v>
      </c>
      <c r="B10">
        <v>-50</v>
      </c>
      <c r="C10">
        <v>-28</v>
      </c>
      <c r="D10" s="1"/>
      <c r="E10" s="1">
        <f ca="1">$G$10*SIN(RADIANS(B10))*COS(RADIANS(C10))</f>
        <v>-59.206820011056877</v>
      </c>
      <c r="F10" s="1">
        <f ca="1">$G$10*SIN(RADIANS(B10))*SIN(RADIANS(C10))</f>
        <v>31.480824618562519</v>
      </c>
      <c r="G10" s="1">
        <f ca="1">$G$10*COS(RADIANS(B10))</f>
        <v>56.266556742734238</v>
      </c>
    </row>
    <row r="11" spans="1:7" x14ac:dyDescent="0.2">
      <c r="A11" t="s">
        <v>10</v>
      </c>
      <c r="B11">
        <v>-32</v>
      </c>
      <c r="C11">
        <v>-45</v>
      </c>
      <c r="D11" s="1"/>
      <c r="E11" s="1">
        <f ca="1">$G$10*SIN(RADIANS(B11))*COS(RADIANS(C11))</f>
        <v>-32.800280092242517</v>
      </c>
      <c r="F11" s="1">
        <f ca="1">$G$10*SIN(RADIANS(B11))*SIN(RADIANS(C11))</f>
        <v>32.80028009224251</v>
      </c>
      <c r="G11" s="1">
        <f ca="1">$G$10*COS(RADIANS(B11))</f>
        <v>74.234079194872393</v>
      </c>
    </row>
    <row r="12" spans="1:7" x14ac:dyDescent="0.2">
      <c r="A12" t="s">
        <v>11</v>
      </c>
      <c r="B12">
        <v>-23</v>
      </c>
      <c r="C12">
        <v>0</v>
      </c>
      <c r="D12" s="1"/>
      <c r="E12" s="1">
        <f ca="1">$G$10*SIN(RADIANS(B12))*COS(RADIANS(C12))</f>
        <v>-34.202736457561024</v>
      </c>
      <c r="F12" s="1">
        <f ca="1">$G$10*SIN(RADIANS(B12))*SIN(RADIANS(C12))</f>
        <v>0</v>
      </c>
      <c r="G12" s="1">
        <f ca="1">$G$10*COS(RADIANS(B12))</f>
        <v>80.576597601191466</v>
      </c>
    </row>
    <row r="13" spans="1:7" x14ac:dyDescent="0.2">
      <c r="A13" t="s">
        <v>12</v>
      </c>
      <c r="B13">
        <v>-46</v>
      </c>
      <c r="C13">
        <v>0</v>
      </c>
      <c r="D13" s="1"/>
      <c r="E13" s="1">
        <f ca="1">$G$10*SIN(RADIANS(B13))*COS(RADIANS(C13))</f>
        <v>-62.967569821079287</v>
      </c>
      <c r="F13" s="1">
        <f ca="1">$G$10*SIN(RADIANS(B13))*SIN(RADIANS(C13))</f>
        <v>0</v>
      </c>
      <c r="G13" s="1">
        <f ca="1">$G$10*COS(RADIANS(B13))</f>
        <v>60.807075353096955</v>
      </c>
    </row>
    <row r="14" spans="1:7" x14ac:dyDescent="0.2">
      <c r="A14" t="s">
        <v>13</v>
      </c>
      <c r="B14">
        <v>-69</v>
      </c>
      <c r="C14">
        <v>0</v>
      </c>
      <c r="D14" s="1"/>
      <c r="E14" s="1">
        <f ca="1">$G$10*SIN(RADIANS(B14))*COS(RADIANS(C14))</f>
        <v>-81.721170803256783</v>
      </c>
      <c r="F14" s="1">
        <f ca="1">$G$10*SIN(RADIANS(B14))*SIN(RADIANS(C14))</f>
        <v>0</v>
      </c>
      <c r="G14" s="1">
        <f ca="1">$G$10*COS(RADIANS(B14))</f>
        <v>31.369818372356569</v>
      </c>
    </row>
    <row r="15" spans="1:7" x14ac:dyDescent="0.2">
      <c r="A15" t="s">
        <v>62</v>
      </c>
      <c r="B15">
        <v>-92</v>
      </c>
      <c r="C15">
        <v>0</v>
      </c>
      <c r="D15" s="1"/>
      <c r="E15" s="1">
        <f ca="1">$G$10*SIN(RADIANS(B15))*COS(RADIANS(C15))</f>
        <v>-87.481898887348166</v>
      </c>
      <c r="F15" s="1">
        <f ca="1">$G$10*SIN(RADIANS(B15))*SIN(RADIANS(C15))</f>
        <v>0</v>
      </c>
      <c r="G15" s="1">
        <f ca="1">$G$10*COS(RADIANS(B15))</f>
        <v>-3.0549352257454658</v>
      </c>
    </row>
    <row r="16" spans="1:7" x14ac:dyDescent="0.2">
      <c r="A16" t="s">
        <v>14</v>
      </c>
      <c r="B16">
        <v>-92</v>
      </c>
      <c r="C16">
        <v>18</v>
      </c>
      <c r="D16" s="1"/>
      <c r="E16" s="1">
        <f ca="1">$G$10*SIN(RADIANS(B16))*COS(RADIANS(C16))</f>
        <v>-83.200229994686211</v>
      </c>
      <c r="F16" s="1">
        <f ca="1">$G$10*SIN(RADIANS(B16))*SIN(RADIANS(C16))</f>
        <v>-27.033393456381386</v>
      </c>
      <c r="G16" s="1">
        <f ca="1">$G$10*COS(RADIANS(B16))</f>
        <v>-3.0549352257454658</v>
      </c>
    </row>
    <row r="17" spans="1:7" x14ac:dyDescent="0.2">
      <c r="A17" t="s">
        <v>15</v>
      </c>
      <c r="B17">
        <v>-72</v>
      </c>
      <c r="C17">
        <v>21</v>
      </c>
      <c r="D17" s="1"/>
      <c r="E17" s="1">
        <f ca="1">$G$10*SIN(RADIANS(B17))*COS(RADIANS(C17))</f>
        <v>-77.721452011706617</v>
      </c>
      <c r="F17" s="1">
        <f ca="1">$G$10*SIN(RADIANS(B17))*SIN(RADIANS(C17))</f>
        <v>-29.834470178025136</v>
      </c>
      <c r="G17" s="1">
        <f ca="1">$G$10*COS(RADIANS(B17))</f>
        <v>27.049871507240532</v>
      </c>
    </row>
    <row r="18" spans="1:7" x14ac:dyDescent="0.2">
      <c r="A18" t="s">
        <v>16</v>
      </c>
      <c r="B18">
        <v>-50</v>
      </c>
      <c r="C18">
        <v>28</v>
      </c>
      <c r="D18" s="1"/>
      <c r="E18" s="1">
        <f ca="1">$G$10*SIN(RADIANS(B18))*COS(RADIANS(C18))</f>
        <v>-59.206820011056877</v>
      </c>
      <c r="F18" s="1">
        <f ca="1">$G$10*SIN(RADIANS(B18))*SIN(RADIANS(C18))</f>
        <v>-31.480824618562519</v>
      </c>
      <c r="G18" s="1">
        <f ca="1">$G$10*COS(RADIANS(B18))</f>
        <v>56.266556742734238</v>
      </c>
    </row>
    <row r="19" spans="1:7" x14ac:dyDescent="0.2">
      <c r="A19" t="s">
        <v>17</v>
      </c>
      <c r="B19">
        <v>-32</v>
      </c>
      <c r="C19">
        <v>45</v>
      </c>
      <c r="D19" s="1"/>
      <c r="E19" s="1">
        <f ca="1">$G$10*SIN(RADIANS(B19))*COS(RADIANS(C19))</f>
        <v>-32.800280092242517</v>
      </c>
      <c r="F19" s="1">
        <f ca="1">$G$10*SIN(RADIANS(B19))*SIN(RADIANS(C19))</f>
        <v>-32.80028009224251</v>
      </c>
      <c r="G19" s="1">
        <f ca="1">$G$10*COS(RADIANS(B19))</f>
        <v>74.234079194872393</v>
      </c>
    </row>
    <row r="20" spans="1:7" x14ac:dyDescent="0.2">
      <c r="A20" t="s">
        <v>18</v>
      </c>
      <c r="B20">
        <v>-50</v>
      </c>
      <c r="C20">
        <v>68</v>
      </c>
      <c r="D20" s="1"/>
      <c r="E20" s="1">
        <f ca="1">$G$10*SIN(RADIANS(B20))*COS(RADIANS(C20))</f>
        <v>-25.119571456688661</v>
      </c>
      <c r="F20" s="1">
        <f ca="1">$G$10*SIN(RADIANS(B20))*SIN(RADIANS(C20))</f>
        <v>-62.173121075901349</v>
      </c>
      <c r="G20" s="1">
        <f ca="1">$G$10*COS(RADIANS(B20))</f>
        <v>56.266556742734238</v>
      </c>
    </row>
    <row r="21" spans="1:7" x14ac:dyDescent="0.2">
      <c r="A21" t="s">
        <v>19</v>
      </c>
      <c r="B21">
        <v>-60</v>
      </c>
      <c r="C21">
        <v>51</v>
      </c>
      <c r="D21" s="1"/>
      <c r="E21" s="1">
        <f ca="1">$G$10*SIN(RADIANS(B21))*COS(RADIANS(C21))</f>
        <v>-47.707348291160287</v>
      </c>
      <c r="F21" s="1">
        <f ca="1">$G$10*SIN(RADIANS(B21))*SIN(RADIANS(C21))</f>
        <v>-58.913668750581181</v>
      </c>
      <c r="G21" s="1">
        <f ca="1">$G$10*COS(RADIANS(B21))</f>
        <v>43.767611490032529</v>
      </c>
    </row>
    <row r="22" spans="1:7" x14ac:dyDescent="0.2">
      <c r="A22" t="s">
        <v>20</v>
      </c>
      <c r="B22">
        <v>-75</v>
      </c>
      <c r="C22">
        <v>41</v>
      </c>
      <c r="D22" s="1"/>
      <c r="E22" s="1">
        <f ca="1">$G$10*SIN(RADIANS(B22))*COS(RADIANS(C22))</f>
        <v>-63.812606375067155</v>
      </c>
      <c r="F22" s="1">
        <f ca="1">$G$10*SIN(RADIANS(B22))*SIN(RADIANS(C22))</f>
        <v>-55.471452427333077</v>
      </c>
      <c r="G22" s="1">
        <f ca="1">$G$10*COS(RADIANS(B22))</f>
        <v>22.655782824536665</v>
      </c>
    </row>
    <row r="23" spans="1:7" x14ac:dyDescent="0.2">
      <c r="A23" t="s">
        <v>21</v>
      </c>
      <c r="B23">
        <v>-92</v>
      </c>
      <c r="C23">
        <v>36</v>
      </c>
      <c r="D23" s="1"/>
      <c r="E23" s="1">
        <f ca="1">$G$10*SIN(RADIANS(B23))*COS(RADIANS(C23))</f>
        <v>-70.774342900055473</v>
      </c>
      <c r="F23" s="1">
        <f ca="1">$G$10*SIN(RADIANS(B23))*SIN(RADIANS(C23))</f>
        <v>-51.420570008524564</v>
      </c>
      <c r="G23" s="1">
        <f ca="1">$G$10*COS(RADIANS(B23))</f>
        <v>-3.0549352257454658</v>
      </c>
    </row>
    <row r="24" spans="1:7" s="2" customFormat="1" x14ac:dyDescent="0.2">
      <c r="A24" s="2" t="s">
        <v>22</v>
      </c>
      <c r="B24" s="2">
        <v>-115</v>
      </c>
      <c r="C24" s="2">
        <v>36</v>
      </c>
      <c r="D24" s="3"/>
      <c r="E24" s="3">
        <f ca="1">$G$10*SIN(RADIANS(B24))*COS(RADIANS(C24))</f>
        <v>0</v>
      </c>
      <c r="F24" s="3">
        <f ca="1">$G$10*SIN(RADIANS(B24))*SIN(RADIANS(C24))</f>
        <v>-46.631269522047127</v>
      </c>
      <c r="G24" s="3">
        <f ca="1">$G$10*COS(RADIANS(B24))</f>
        <v>-36.993983776919606</v>
      </c>
    </row>
    <row r="25" spans="1:7" x14ac:dyDescent="0.2">
      <c r="A25" t="s">
        <v>23</v>
      </c>
      <c r="B25">
        <v>-92</v>
      </c>
      <c r="C25">
        <v>54</v>
      </c>
      <c r="D25" s="1"/>
      <c r="E25" s="1">
        <f ca="1">$G$10*SIN(RADIANS(B25))*COS(RADIANS(C25))</f>
        <v>-51.420570008524564</v>
      </c>
      <c r="F25" s="1">
        <f ca="1">$G$10*SIN(RADIANS(B25))*SIN(RADIANS(C25))</f>
        <v>-70.774342900055473</v>
      </c>
      <c r="G25" s="1">
        <f ca="1">$G$10*COS(RADIANS(B25))</f>
        <v>-3.0549352257454658</v>
      </c>
    </row>
    <row r="26" spans="1:7" x14ac:dyDescent="0.2">
      <c r="A26" t="s">
        <v>24</v>
      </c>
      <c r="B26">
        <v>-74</v>
      </c>
      <c r="C26">
        <v>65</v>
      </c>
      <c r="D26" s="1"/>
      <c r="E26" s="1">
        <f ca="1">$G$10*SIN(RADIANS(B26))*COS(RADIANS(C26))</f>
        <v>-35.560899584916406</v>
      </c>
      <c r="F26" s="1">
        <f ca="1">$G$10*SIN(RADIANS(B26))*SIN(RADIANS(C26))</f>
        <v>-76.260595259398713</v>
      </c>
      <c r="G26" s="1">
        <f ca="1">$G$10*COS(RADIANS(B26))</f>
        <v>24.127977403076549</v>
      </c>
    </row>
    <row r="27" spans="1:7" x14ac:dyDescent="0.2">
      <c r="A27" t="s">
        <v>25</v>
      </c>
      <c r="B27">
        <v>-92</v>
      </c>
      <c r="C27">
        <v>72</v>
      </c>
      <c r="D27" s="1"/>
      <c r="E27" s="1">
        <f ca="1">$G$10*SIN(RADIANS(B27))*COS(RADIANS(C27))</f>
        <v>-27.03339345638139</v>
      </c>
      <c r="F27" s="1">
        <f ca="1">$G$10*SIN(RADIANS(B27))*SIN(RADIANS(C27))</f>
        <v>-83.200229994686211</v>
      </c>
      <c r="G27" s="1">
        <f ca="1">$G$10*COS(RADIANS(B27))</f>
        <v>-3.0549352257454658</v>
      </c>
    </row>
    <row r="28" spans="1:7" s="2" customFormat="1" x14ac:dyDescent="0.2">
      <c r="A28" s="2" t="s">
        <v>26</v>
      </c>
      <c r="B28" s="2">
        <v>115</v>
      </c>
      <c r="C28" s="2">
        <v>-90</v>
      </c>
      <c r="D28" s="3"/>
      <c r="E28" s="3">
        <f ca="1">$G$10*SIN(RADIANS(B28))*COS(RADIANS(C28))</f>
        <v>4.8597874463968617E-15</v>
      </c>
      <c r="F28" s="3">
        <f ca="1">$G$10*SIN(RADIANS(B28))*SIN(RADIANS(C28))</f>
        <v>-79.333854226822467</v>
      </c>
      <c r="G28" s="3">
        <f ca="1">$G$10*COS(RADIANS(B28))</f>
        <v>-36.993983776919606</v>
      </c>
    </row>
    <row r="29" spans="1:7" x14ac:dyDescent="0.2">
      <c r="A29" t="s">
        <v>27</v>
      </c>
      <c r="B29">
        <v>92</v>
      </c>
      <c r="C29">
        <v>-90</v>
      </c>
      <c r="D29" s="1"/>
      <c r="E29" s="1">
        <f ca="1">$G$10*SIN(RADIANS(B29))*COS(RADIANS(C29))</f>
        <v>5.3589156627153365E-15</v>
      </c>
      <c r="F29" s="1">
        <f ca="1">$G$10*SIN(RADIANS(B29))*SIN(RADIANS(C29))</f>
        <v>-87.481898887348166</v>
      </c>
      <c r="G29" s="1">
        <f ca="1">$G$10*COS(RADIANS(B29))</f>
        <v>-3.0549352257454658</v>
      </c>
    </row>
    <row r="30" spans="1:7" x14ac:dyDescent="0.2">
      <c r="A30" t="s">
        <v>28</v>
      </c>
      <c r="B30">
        <v>69</v>
      </c>
      <c r="C30">
        <v>-90</v>
      </c>
      <c r="D30" s="1"/>
      <c r="E30" s="1">
        <f ca="1">$G$10*SIN(RADIANS(B30))*COS(RADIANS(C30))</f>
        <v>5.0060283071466737E-15</v>
      </c>
      <c r="F30" s="1">
        <f ca="1">$G$10*SIN(RADIANS(B30))*SIN(RADIANS(C30))</f>
        <v>-81.721170803256783</v>
      </c>
      <c r="G30" s="1">
        <f ca="1">$G$10*COS(RADIANS(B30))</f>
        <v>31.369818372356569</v>
      </c>
    </row>
    <row r="31" spans="1:7" x14ac:dyDescent="0.2">
      <c r="A31" t="s">
        <v>29</v>
      </c>
      <c r="B31">
        <v>46</v>
      </c>
      <c r="C31">
        <v>-90</v>
      </c>
      <c r="D31" s="1"/>
      <c r="E31" s="1">
        <f ca="1">$G$10*SIN(RADIANS(B31))*COS(RADIANS(C31))</f>
        <v>3.8572310437822973E-15</v>
      </c>
      <c r="F31" s="1">
        <f ca="1">$G$10*SIN(RADIANS(B31))*SIN(RADIANS(C31))</f>
        <v>-62.967569821079287</v>
      </c>
      <c r="G31" s="1">
        <f ca="1">$G$10*COS(RADIANS(B31))</f>
        <v>60.807075353096955</v>
      </c>
    </row>
    <row r="32" spans="1:7" x14ac:dyDescent="0.2">
      <c r="A32" t="s">
        <v>30</v>
      </c>
      <c r="B32">
        <v>23</v>
      </c>
      <c r="C32">
        <v>-90</v>
      </c>
      <c r="D32" s="1"/>
      <c r="E32" s="1">
        <f ca="1">$G$10*SIN(RADIANS(B32))*COS(RADIANS(C32))</f>
        <v>2.0951714862313809E-15</v>
      </c>
      <c r="F32" s="1">
        <f ca="1">$G$10*SIN(RADIANS(B32))*SIN(RADIANS(C32))</f>
        <v>-34.202736457561024</v>
      </c>
      <c r="G32" s="1">
        <f ca="1">$G$10*COS(RADIANS(B32))</f>
        <v>80.576597601191466</v>
      </c>
    </row>
    <row r="33" spans="1:7" x14ac:dyDescent="0.2">
      <c r="A33" t="s">
        <v>31</v>
      </c>
      <c r="B33">
        <v>92</v>
      </c>
      <c r="C33">
        <v>90</v>
      </c>
      <c r="D33" s="1"/>
      <c r="E33" s="1">
        <f ca="1">$G$10*SIN(RADIANS(B33))*COS(RADIANS(C33))</f>
        <v>5.3589156627153365E-15</v>
      </c>
      <c r="F33" s="1">
        <f ca="1">$G$10*SIN(RADIANS(B33))*SIN(RADIANS(C33))</f>
        <v>87.481898887348166</v>
      </c>
      <c r="G33" s="1">
        <f ca="1">$G$10*COS(RADIANS(B33))</f>
        <v>-3.0549352257454658</v>
      </c>
    </row>
    <row r="34" spans="1:7" x14ac:dyDescent="0.2">
      <c r="A34" t="s">
        <v>32</v>
      </c>
      <c r="B34">
        <v>92</v>
      </c>
      <c r="C34">
        <v>72</v>
      </c>
      <c r="D34" s="1"/>
      <c r="E34" s="1">
        <f ca="1">$G$10*SIN(RADIANS(B34))*COS(RADIANS(C34))</f>
        <v>27.03339345638139</v>
      </c>
      <c r="F34" s="1">
        <f ca="1">$G$10*SIN(RADIANS(B34))*SIN(RADIANS(C34))</f>
        <v>83.200229994686211</v>
      </c>
      <c r="G34" s="1">
        <f ca="1">$G$10*COS(RADIANS(B34))</f>
        <v>-3.0549352257454658</v>
      </c>
    </row>
    <row r="35" spans="1:7" x14ac:dyDescent="0.2">
      <c r="A35" t="s">
        <v>33</v>
      </c>
      <c r="B35">
        <v>92</v>
      </c>
      <c r="C35">
        <v>54</v>
      </c>
      <c r="D35" s="1"/>
      <c r="E35" s="1">
        <f ca="1">$G$10*SIN(RADIANS(B35))*COS(RADIANS(C35))</f>
        <v>51.420570008524564</v>
      </c>
      <c r="F35" s="1">
        <f ca="1">$G$10*SIN(RADIANS(B35))*SIN(RADIANS(C35))</f>
        <v>70.774342900055473</v>
      </c>
      <c r="G35" s="1">
        <f ca="1">$G$10*COS(RADIANS(B35))</f>
        <v>-3.0549352257454658</v>
      </c>
    </row>
    <row r="36" spans="1:7" x14ac:dyDescent="0.2">
      <c r="A36" t="s">
        <v>34</v>
      </c>
      <c r="B36">
        <v>74</v>
      </c>
      <c r="C36">
        <v>65</v>
      </c>
      <c r="D36" s="1"/>
      <c r="E36" s="1">
        <f ca="1">$G$10*SIN(RADIANS(B36))*COS(RADIANS(C36))</f>
        <v>35.560899584916406</v>
      </c>
      <c r="F36" s="1">
        <f ca="1">$G$10*SIN(RADIANS(B36))*SIN(RADIANS(C36))</f>
        <v>76.260595259398713</v>
      </c>
      <c r="G36" s="1">
        <f ca="1">$G$10*COS(RADIANS(B36))</f>
        <v>24.127977403076549</v>
      </c>
    </row>
    <row r="37" spans="1:7" s="2" customFormat="1" x14ac:dyDescent="0.2">
      <c r="A37" s="2" t="s">
        <v>35</v>
      </c>
      <c r="B37" s="2">
        <v>69</v>
      </c>
      <c r="C37" s="2">
        <v>90</v>
      </c>
      <c r="D37" s="3"/>
      <c r="E37" s="3">
        <f ca="1">$G$10*SIN(RADIANS(B37))*COS(RADIANS(C37))</f>
        <v>5.0060283071466737E-15</v>
      </c>
      <c r="F37" s="3">
        <f ca="1">$G$10*SIN(RADIANS(B37))*SIN(RADIANS(C37))</f>
        <v>81.721170803256783</v>
      </c>
      <c r="G37" s="3">
        <f ca="1">$G$10*COS(RADIANS(B37))</f>
        <v>31.369818372356569</v>
      </c>
    </row>
    <row r="38" spans="1:7" x14ac:dyDescent="0.2">
      <c r="A38" t="s">
        <v>36</v>
      </c>
      <c r="B38">
        <v>46</v>
      </c>
      <c r="C38">
        <v>90</v>
      </c>
      <c r="D38" s="1"/>
      <c r="E38" s="1">
        <f ca="1">$G$10*SIN(RADIANS(B38))*COS(RADIANS(C38))</f>
        <v>3.8572310437822973E-15</v>
      </c>
      <c r="F38" s="1">
        <f ca="1">$G$10*SIN(RADIANS(B38))*SIN(RADIANS(C38))</f>
        <v>62.967569821079287</v>
      </c>
      <c r="G38" s="1">
        <f ca="1">$G$10*COS(RADIANS(B38))</f>
        <v>60.807075353096955</v>
      </c>
    </row>
    <row r="39" spans="1:7" x14ac:dyDescent="0.2">
      <c r="A39" t="s">
        <v>37</v>
      </c>
      <c r="B39">
        <v>50</v>
      </c>
      <c r="C39">
        <v>68</v>
      </c>
      <c r="D39" s="1"/>
      <c r="E39" s="1">
        <f ca="1">$G$10*SIN(RADIANS(B39))*COS(RADIANS(C39))</f>
        <v>25.119571456688661</v>
      </c>
      <c r="F39" s="1">
        <f ca="1">$G$10*SIN(RADIANS(B39))*SIN(RADIANS(C39))</f>
        <v>62.173121075901349</v>
      </c>
      <c r="G39" s="1">
        <f ca="1">$G$10*COS(RADIANS(B39))</f>
        <v>56.266556742734238</v>
      </c>
    </row>
    <row r="40" spans="1:7" x14ac:dyDescent="0.2">
      <c r="A40" t="s">
        <v>38</v>
      </c>
      <c r="B40">
        <v>60</v>
      </c>
      <c r="C40">
        <v>51</v>
      </c>
      <c r="D40" s="1"/>
      <c r="E40" s="1">
        <f ca="1">$G$10*SIN(RADIANS(B40))*COS(RADIANS(C40))</f>
        <v>47.707348291160287</v>
      </c>
      <c r="F40" s="1">
        <f ca="1">$G$10*SIN(RADIANS(B40))*SIN(RADIANS(C40))</f>
        <v>58.913668750581181</v>
      </c>
      <c r="G40" s="1">
        <f ca="1">$G$10*COS(RADIANS(B40))</f>
        <v>43.767611490032529</v>
      </c>
    </row>
    <row r="41" spans="1:7" x14ac:dyDescent="0.2">
      <c r="A41" t="s">
        <v>39</v>
      </c>
      <c r="B41">
        <v>75</v>
      </c>
      <c r="C41">
        <v>41</v>
      </c>
      <c r="D41" s="1"/>
      <c r="E41" s="1">
        <f ca="1">$G$10*SIN(RADIANS(B41))*COS(RADIANS(C41))</f>
        <v>63.812606375067155</v>
      </c>
      <c r="F41" s="1">
        <f ca="1">$G$10*SIN(RADIANS(B41))*SIN(RADIANS(C41))</f>
        <v>55.471452427333077</v>
      </c>
      <c r="G41" s="1">
        <f ca="1">$G$10*COS(RADIANS(B41))</f>
        <v>22.655782824536665</v>
      </c>
    </row>
    <row r="42" spans="1:7" x14ac:dyDescent="0.2">
      <c r="A42" t="s">
        <v>40</v>
      </c>
      <c r="B42">
        <v>92</v>
      </c>
      <c r="C42">
        <v>36</v>
      </c>
      <c r="D42" s="1"/>
      <c r="E42" s="1">
        <f ca="1">$G$10*SIN(RADIANS(B42))*COS(RADIANS(C42))</f>
        <v>70.774342900055473</v>
      </c>
      <c r="F42" s="1">
        <f ca="1">$G$10*SIN(RADIANS(B42))*SIN(RADIANS(C42))</f>
        <v>51.420570008524564</v>
      </c>
      <c r="G42" s="1">
        <f ca="1">$G$10*COS(RADIANS(B42))</f>
        <v>-3.0549352257454658</v>
      </c>
    </row>
    <row r="43" spans="1:7" x14ac:dyDescent="0.2">
      <c r="A43" t="s">
        <v>41</v>
      </c>
      <c r="B43">
        <v>92</v>
      </c>
      <c r="C43">
        <v>18</v>
      </c>
      <c r="D43" s="1"/>
      <c r="E43" s="1">
        <f ca="1">$G$10*SIN(RADIANS(B43))*COS(RADIANS(C43))</f>
        <v>83.200229994686211</v>
      </c>
      <c r="F43" s="1">
        <f ca="1">$G$10*SIN(RADIANS(B43))*SIN(RADIANS(C43))</f>
        <v>27.033393456381386</v>
      </c>
      <c r="G43" s="1">
        <f ca="1">$G$10*COS(RADIANS(B43))</f>
        <v>-3.0549352257454658</v>
      </c>
    </row>
    <row r="44" spans="1:7" x14ac:dyDescent="0.2">
      <c r="A44" t="s">
        <v>42</v>
      </c>
      <c r="B44">
        <v>72</v>
      </c>
      <c r="C44">
        <v>21</v>
      </c>
      <c r="D44" s="1"/>
      <c r="E44" s="1">
        <f ca="1">$G$10*SIN(RADIANS(B44))*COS(RADIANS(C44))</f>
        <v>77.721452011706617</v>
      </c>
      <c r="F44" s="1">
        <f ca="1">$G$10*SIN(RADIANS(B44))*SIN(RADIANS(C44))</f>
        <v>29.834470178025136</v>
      </c>
      <c r="G44" s="1">
        <f ca="1">$G$10*COS(RADIANS(B44))</f>
        <v>27.049871507240532</v>
      </c>
    </row>
    <row r="45" spans="1:7" x14ac:dyDescent="0.2">
      <c r="A45" t="s">
        <v>43</v>
      </c>
      <c r="B45">
        <v>50</v>
      </c>
      <c r="C45">
        <v>28</v>
      </c>
      <c r="D45" s="1"/>
      <c r="E45" s="1">
        <f ca="1">$G$10*SIN(RADIANS(B45))*COS(RADIANS(C45))</f>
        <v>59.206820011056877</v>
      </c>
      <c r="F45" s="1">
        <f ca="1">$G$10*SIN(RADIANS(B45))*SIN(RADIANS(C45))</f>
        <v>31.480824618562519</v>
      </c>
      <c r="G45" s="1">
        <f ca="1">$G$10*COS(RADIANS(B45))</f>
        <v>56.266556742734238</v>
      </c>
    </row>
    <row r="46" spans="1:7" x14ac:dyDescent="0.2">
      <c r="A46" t="s">
        <v>44</v>
      </c>
      <c r="B46">
        <v>32</v>
      </c>
      <c r="C46">
        <v>45</v>
      </c>
      <c r="D46" s="1"/>
      <c r="E46" s="1">
        <f ca="1">$G$10*SIN(RADIANS(B46))*COS(RADIANS(C46))</f>
        <v>32.800280092242517</v>
      </c>
      <c r="F46" s="1">
        <f ca="1">$G$10*SIN(RADIANS(B46))*SIN(RADIANS(C46))</f>
        <v>32.80028009224251</v>
      </c>
      <c r="G46" s="1">
        <f ca="1">$G$10*COS(RADIANS(B46))</f>
        <v>74.234079194872393</v>
      </c>
    </row>
    <row r="47" spans="1:7" s="2" customFormat="1" x14ac:dyDescent="0.2">
      <c r="A47" s="2" t="s">
        <v>45</v>
      </c>
      <c r="B47" s="2">
        <v>23</v>
      </c>
      <c r="C47" s="2">
        <v>90</v>
      </c>
      <c r="D47" s="3"/>
      <c r="E47" s="3">
        <f ca="1">$G$10*SIN(RADIANS(B47))*COS(RADIANS(C47))</f>
        <v>2.0951714862313809E-15</v>
      </c>
      <c r="F47" s="3">
        <f ca="1">$G$10*SIN(RADIANS(B47))*SIN(RADIANS(C47))</f>
        <v>34.202736457561024</v>
      </c>
      <c r="G47" s="3">
        <f ca="1">$G$10*COS(RADIANS(B47))</f>
        <v>80.576597601191466</v>
      </c>
    </row>
    <row r="48" spans="1:7" x14ac:dyDescent="0.2">
      <c r="A48" t="s">
        <v>46</v>
      </c>
      <c r="B48">
        <v>0</v>
      </c>
      <c r="C48">
        <v>0</v>
      </c>
      <c r="D48" s="1"/>
      <c r="E48" s="1">
        <f ca="1">$G$10*SIN(RADIANS(B48))*COS(RADIANS(C48))</f>
        <v>0</v>
      </c>
      <c r="F48" s="1">
        <f ca="1">$G$10*SIN(RADIANS(B48))*SIN(RADIANS(C48))</f>
        <v>0</v>
      </c>
      <c r="G48" s="1">
        <f ca="1">$G$10*COS(RADIANS(B48))</f>
        <v>87.535222980065043</v>
      </c>
    </row>
    <row r="49" spans="1:7" x14ac:dyDescent="0.2">
      <c r="A49" t="s">
        <v>47</v>
      </c>
      <c r="B49">
        <v>23</v>
      </c>
      <c r="C49">
        <v>0</v>
      </c>
      <c r="D49" s="1"/>
      <c r="E49" s="1">
        <f ca="1">$G$10*SIN(RADIANS(B49))*COS(RADIANS(C49))</f>
        <v>34.202736457561024</v>
      </c>
      <c r="F49" s="1">
        <f ca="1">$G$10*SIN(RADIANS(B49))*SIN(RADIANS(C49))</f>
        <v>0</v>
      </c>
      <c r="G49" s="1">
        <f ca="1">$G$10*COS(RADIANS(B49))</f>
        <v>80.576597601191466</v>
      </c>
    </row>
    <row r="50" spans="1:7" x14ac:dyDescent="0.2">
      <c r="A50" t="s">
        <v>48</v>
      </c>
      <c r="B50">
        <v>46</v>
      </c>
      <c r="C50">
        <v>0</v>
      </c>
      <c r="D50" s="1"/>
      <c r="E50" s="1">
        <f ca="1">$G$10*SIN(RADIANS(B50))*COS(RADIANS(C50))</f>
        <v>62.967569821079287</v>
      </c>
      <c r="F50" s="1">
        <f ca="1">$G$10*SIN(RADIANS(B50))*SIN(RADIANS(C50))</f>
        <v>0</v>
      </c>
      <c r="G50" s="1">
        <f ca="1">$G$10*COS(RADIANS(B50))</f>
        <v>60.807075353096955</v>
      </c>
    </row>
    <row r="51" spans="1:7" x14ac:dyDescent="0.2">
      <c r="A51" t="s">
        <v>49</v>
      </c>
      <c r="B51">
        <v>69</v>
      </c>
      <c r="C51">
        <v>0</v>
      </c>
      <c r="D51" s="1"/>
      <c r="E51" s="1">
        <f ca="1">$G$10*SIN(RADIANS(B51))*COS(RADIANS(C51))</f>
        <v>81.721170803256783</v>
      </c>
      <c r="F51" s="1">
        <f ca="1">$G$10*SIN(RADIANS(B51))*SIN(RADIANS(C51))</f>
        <v>0</v>
      </c>
      <c r="G51" s="1">
        <f ca="1">$G$10*COS(RADIANS(B51))</f>
        <v>31.369818372356569</v>
      </c>
    </row>
    <row r="52" spans="1:7" x14ac:dyDescent="0.2">
      <c r="A52" t="s">
        <v>63</v>
      </c>
      <c r="B52">
        <v>92</v>
      </c>
      <c r="C52">
        <v>0</v>
      </c>
      <c r="D52" s="1"/>
      <c r="E52" s="1">
        <f ca="1">$G$10*SIN(RADIANS(B52))*COS(RADIANS(C52))</f>
        <v>87.481898887348166</v>
      </c>
      <c r="F52" s="1">
        <f ca="1">$G$10*SIN(RADIANS(B52))*SIN(RADIANS(C52))</f>
        <v>0</v>
      </c>
      <c r="G52" s="1">
        <f ca="1">$G$10*COS(RADIANS(B52))</f>
        <v>-3.0549352257454658</v>
      </c>
    </row>
    <row r="53" spans="1:7" x14ac:dyDescent="0.2">
      <c r="A53" t="s">
        <v>50</v>
      </c>
      <c r="B53">
        <v>92</v>
      </c>
      <c r="C53">
        <v>-18</v>
      </c>
      <c r="D53" s="1"/>
      <c r="E53" s="1">
        <f ca="1">$G$10*SIN(RADIANS(B53))*COS(RADIANS(C53))</f>
        <v>83.200229994686211</v>
      </c>
      <c r="F53" s="1">
        <f ca="1">$G$10*SIN(RADIANS(B53))*SIN(RADIANS(C53))</f>
        <v>-27.033393456381386</v>
      </c>
      <c r="G53" s="1">
        <f ca="1">$G$10*COS(RADIANS(B53))</f>
        <v>-3.0549352257454658</v>
      </c>
    </row>
    <row r="54" spans="1:7" x14ac:dyDescent="0.2">
      <c r="A54" t="s">
        <v>51</v>
      </c>
      <c r="B54">
        <v>72</v>
      </c>
      <c r="C54">
        <v>-21</v>
      </c>
      <c r="D54" s="1"/>
      <c r="E54" s="1">
        <f ca="1">$G$10*SIN(RADIANS(B54))*COS(RADIANS(C54))</f>
        <v>77.721452011706617</v>
      </c>
      <c r="F54" s="1">
        <f ca="1">$G$10*SIN(RADIANS(B54))*SIN(RADIANS(C54))</f>
        <v>-29.834470178025136</v>
      </c>
      <c r="G54" s="1">
        <f ca="1">$G$10*COS(RADIANS(B54))</f>
        <v>27.049871507240532</v>
      </c>
    </row>
    <row r="55" spans="1:7" x14ac:dyDescent="0.2">
      <c r="A55" t="s">
        <v>52</v>
      </c>
      <c r="B55">
        <v>50</v>
      </c>
      <c r="C55">
        <v>-28</v>
      </c>
      <c r="D55" s="1"/>
      <c r="E55" s="1">
        <f ca="1">$G$10*SIN(RADIANS(B55))*COS(RADIANS(C55))</f>
        <v>59.206820011056877</v>
      </c>
      <c r="F55" s="1">
        <f ca="1">$G$10*SIN(RADIANS(B55))*SIN(RADIANS(C55))</f>
        <v>-31.480824618562519</v>
      </c>
      <c r="G55" s="1">
        <f ca="1">$G$10*COS(RADIANS(B55))</f>
        <v>56.266556742734238</v>
      </c>
    </row>
    <row r="56" spans="1:7" x14ac:dyDescent="0.2">
      <c r="A56" t="s">
        <v>53</v>
      </c>
      <c r="B56">
        <v>32</v>
      </c>
      <c r="C56">
        <v>-45</v>
      </c>
      <c r="D56" s="1"/>
      <c r="E56" s="1">
        <f ca="1">$G$10*SIN(RADIANS(B56))*COS(RADIANS(C56))</f>
        <v>32.800280092242517</v>
      </c>
      <c r="F56" s="1">
        <f ca="1">$G$10*SIN(RADIANS(B56))*SIN(RADIANS(C56))</f>
        <v>-32.80028009224251</v>
      </c>
      <c r="G56" s="1">
        <f ca="1">$G$10*COS(RADIANS(B56))</f>
        <v>74.234079194872393</v>
      </c>
    </row>
    <row r="57" spans="1:7" x14ac:dyDescent="0.2">
      <c r="A57" t="s">
        <v>54</v>
      </c>
      <c r="B57">
        <v>50</v>
      </c>
      <c r="C57">
        <v>-68</v>
      </c>
      <c r="D57" s="1"/>
      <c r="E57" s="1">
        <f ca="1">$G$10*SIN(RADIANS(B57))*COS(RADIANS(C57))</f>
        <v>25.119571456688661</v>
      </c>
      <c r="F57" s="1">
        <f ca="1">$G$10*SIN(RADIANS(B57))*SIN(RADIANS(C57))</f>
        <v>-62.173121075901349</v>
      </c>
      <c r="G57" s="1">
        <f ca="1">$G$10*COS(RADIANS(B57))</f>
        <v>56.266556742734238</v>
      </c>
    </row>
    <row r="58" spans="1:7" x14ac:dyDescent="0.2">
      <c r="A58" t="s">
        <v>55</v>
      </c>
      <c r="B58">
        <v>60</v>
      </c>
      <c r="C58">
        <v>-51</v>
      </c>
      <c r="D58" s="1"/>
      <c r="E58" s="1">
        <f ca="1">$G$10*SIN(RADIANS(B58))*COS(RADIANS(C58))</f>
        <v>47.707348291160287</v>
      </c>
      <c r="F58" s="1">
        <f ca="1">$G$10*SIN(RADIANS(B58))*SIN(RADIANS(C58))</f>
        <v>-58.913668750581181</v>
      </c>
      <c r="G58" s="1">
        <f ca="1">$G$10*COS(RADIANS(B58))</f>
        <v>43.767611490032529</v>
      </c>
    </row>
    <row r="59" spans="1:7" x14ac:dyDescent="0.2">
      <c r="A59" t="s">
        <v>56</v>
      </c>
      <c r="B59">
        <v>75</v>
      </c>
      <c r="C59">
        <v>-41</v>
      </c>
      <c r="D59" s="1"/>
      <c r="E59" s="1">
        <f ca="1">$G$10*SIN(RADIANS(B59))*COS(RADIANS(C59))</f>
        <v>63.812606375067155</v>
      </c>
      <c r="F59" s="1">
        <f ca="1">$G$10*SIN(RADIANS(B59))*SIN(RADIANS(C59))</f>
        <v>-55.471452427333077</v>
      </c>
      <c r="G59" s="1">
        <f ca="1">$G$10*COS(RADIANS(B59))</f>
        <v>22.655782824536665</v>
      </c>
    </row>
    <row r="60" spans="1:7" x14ac:dyDescent="0.2">
      <c r="A60" t="s">
        <v>57</v>
      </c>
      <c r="B60">
        <v>92</v>
      </c>
      <c r="C60">
        <v>-36</v>
      </c>
      <c r="D60" s="1"/>
      <c r="E60" s="1">
        <f ca="1">$G$10*SIN(RADIANS(B60))*COS(RADIANS(C60))</f>
        <v>70.774342900055473</v>
      </c>
      <c r="F60" s="1">
        <f ca="1">$G$10*SIN(RADIANS(B60))*SIN(RADIANS(C60))</f>
        <v>-51.420570008524564</v>
      </c>
      <c r="G60" s="1">
        <f ca="1">$G$10*COS(RADIANS(B60))</f>
        <v>-3.0549352257454658</v>
      </c>
    </row>
    <row r="61" spans="1:7" x14ac:dyDescent="0.2">
      <c r="A61" s="2" t="s">
        <v>58</v>
      </c>
      <c r="B61" s="2">
        <v>115</v>
      </c>
      <c r="C61" s="2">
        <v>-36</v>
      </c>
      <c r="D61" s="3"/>
      <c r="E61" s="3">
        <f ca="1">$G$10*SIN(RADIANS(B61))*COS(RADIANS(C61))</f>
        <v>64.182436298764131</v>
      </c>
      <c r="F61" s="3">
        <f ca="1">$G$10*SIN(RADIANS(B61))*SIN(RADIANS(C61))</f>
        <v>-46.631269522047127</v>
      </c>
      <c r="G61" s="3">
        <f ca="1">$G$10*COS(RADIANS(B61))</f>
        <v>-36.993983776919606</v>
      </c>
    </row>
    <row r="62" spans="1:7" x14ac:dyDescent="0.2">
      <c r="A62" t="s">
        <v>59</v>
      </c>
      <c r="B62">
        <v>92</v>
      </c>
      <c r="C62">
        <v>-54</v>
      </c>
      <c r="D62" s="1"/>
      <c r="E62" s="1">
        <f ca="1">$G$10*SIN(RADIANS(B62))*COS(RADIANS(C62))</f>
        <v>51.420570008524564</v>
      </c>
      <c r="F62" s="1">
        <f ca="1">$G$10*SIN(RADIANS(B62))*SIN(RADIANS(C62))</f>
        <v>-70.774342900055473</v>
      </c>
      <c r="G62" s="1">
        <f ca="1">$G$10*COS(RADIANS(B62))</f>
        <v>-3.0549352257454658</v>
      </c>
    </row>
    <row r="63" spans="1:7" x14ac:dyDescent="0.2">
      <c r="A63" t="s">
        <v>60</v>
      </c>
      <c r="B63">
        <v>74</v>
      </c>
      <c r="C63">
        <v>-65</v>
      </c>
      <c r="D63" s="1"/>
      <c r="E63" s="1">
        <f ca="1">$G$10*SIN(RADIANS(B63))*COS(RADIANS(C63))</f>
        <v>35.560899584916406</v>
      </c>
      <c r="F63" s="1">
        <f ca="1">$G$10*SIN(RADIANS(B63))*SIN(RADIANS(C63))</f>
        <v>-76.260595259398713</v>
      </c>
      <c r="G63" s="1">
        <f ca="1">$G$10*COS(RADIANS(B63))</f>
        <v>24.127977403076549</v>
      </c>
    </row>
    <row r="64" spans="1:7" x14ac:dyDescent="0.2">
      <c r="A64" t="s">
        <v>61</v>
      </c>
      <c r="B64">
        <v>92</v>
      </c>
      <c r="C64">
        <v>-72</v>
      </c>
      <c r="D64" s="1"/>
      <c r="E64" s="1">
        <f ca="1">$G$10*SIN(RADIANS(B64))*COS(RADIANS(C64))</f>
        <v>27.03339345638139</v>
      </c>
      <c r="F64" s="1">
        <f ca="1">$G$10*SIN(RADIANS(B64))*SIN(RADIANS(C64))</f>
        <v>-83.200229994686211</v>
      </c>
      <c r="G64" s="1">
        <f ca="1">$G$10*COS(RADIANS(B64))</f>
        <v>-3.0549352257454658</v>
      </c>
    </row>
    <row r="65" spans="1:8" s="4" customFormat="1" x14ac:dyDescent="0.2">
      <c r="A65" s="4" t="s">
        <v>64</v>
      </c>
      <c r="B65" s="4">
        <v>-115</v>
      </c>
      <c r="C65" s="4">
        <v>-18</v>
      </c>
      <c r="E65" s="1">
        <f ca="1">$G$10*SIN(RADIANS(B65))*COS(RADIANS(C65))</f>
        <v>27.03339345638139</v>
      </c>
      <c r="F65" s="1">
        <f ca="1">$G$10*SIN(RADIANS(B65))*SIN(RADIANS(C65))</f>
        <v>-83.200229994686211</v>
      </c>
      <c r="G65" s="1">
        <f ca="1">$G$10*COS(RADIANS(B65))</f>
        <v>-3.0549352257454658</v>
      </c>
    </row>
    <row r="66" spans="1:8" s="4" customFormat="1" x14ac:dyDescent="0.2">
      <c r="A66" s="4" t="s">
        <v>65</v>
      </c>
      <c r="B66">
        <v>115</v>
      </c>
      <c r="C66" s="4">
        <v>18</v>
      </c>
      <c r="E66" s="1"/>
      <c r="F66" s="1"/>
      <c r="G66" s="1"/>
    </row>
    <row r="67" spans="1:8" s="4" customFormat="1" x14ac:dyDescent="0.2">
      <c r="A67" s="4" t="s">
        <v>66</v>
      </c>
      <c r="B67" s="4">
        <v>-115</v>
      </c>
      <c r="C67" s="4">
        <v>-18</v>
      </c>
      <c r="E67" s="1"/>
      <c r="F67" s="1"/>
      <c r="G67" s="1"/>
    </row>
    <row r="68" spans="1:8" s="4" customFormat="1" x14ac:dyDescent="0.2">
      <c r="A68" s="4" t="s">
        <v>67</v>
      </c>
      <c r="B68">
        <v>115</v>
      </c>
      <c r="C68" s="4">
        <v>18</v>
      </c>
      <c r="E68" s="1"/>
      <c r="F68" s="1"/>
      <c r="G68" s="1"/>
    </row>
    <row r="72" spans="1:8" x14ac:dyDescent="0.2">
      <c r="G72" s="1"/>
      <c r="H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Sheet1-backup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fa-hsuan lin</dc:creator>
  <cp:lastModifiedBy>fa-hsuan lin</cp:lastModifiedBy>
  <dcterms:created xsi:type="dcterms:W3CDTF">2025-07-21T19:20:36Z</dcterms:created>
  <dcterms:modified xsi:type="dcterms:W3CDTF">2025-07-22T00:13:52Z</dcterms:modified>
</cp:coreProperties>
</file>